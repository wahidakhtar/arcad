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wahidakhtar/ARCAD/"/>
    </mc:Choice>
  </mc:AlternateContent>
  <xr:revisionPtr revIDLastSave="0" documentId="13_ncr:1_{F6C1B4C4-CCD3-3942-BA20-0C5E0A87885D}" xr6:coauthVersionLast="47" xr6:coauthVersionMax="47" xr10:uidLastSave="{00000000-0000-0000-0000-000000000000}"/>
  <bookViews>
    <workbookView xWindow="0" yWindow="9520" windowWidth="30240" windowHeight="8920" xr2:uid="{D3E83B99-027E-4143-A195-C99C62BA1DBF}"/>
  </bookViews>
  <sheets>
    <sheet name="d1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2" l="1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" i="2"/>
  <c r="O5" i="2"/>
  <c r="O3" i="2"/>
</calcChain>
</file>

<file path=xl/sharedStrings.xml><?xml version="1.0" encoding="utf-8"?>
<sst xmlns="http://schemas.openxmlformats.org/spreadsheetml/2006/main" count="286" uniqueCount="113">
  <si>
    <t>invoice</t>
  </si>
  <si>
    <t>wcc</t>
  </si>
  <si>
    <t>raised</t>
  </si>
  <si>
    <t>signed</t>
  </si>
  <si>
    <t>shared</t>
  </si>
  <si>
    <t>rejected</t>
  </si>
  <si>
    <t>pend</t>
  </si>
  <si>
    <t>gen</t>
  </si>
  <si>
    <t>settled</t>
  </si>
  <si>
    <t>rec</t>
  </si>
  <si>
    <t>user</t>
  </si>
  <si>
    <t>site</t>
  </si>
  <si>
    <t>po</t>
  </si>
  <si>
    <t>tx_copy</t>
  </si>
  <si>
    <t>audit_report</t>
  </si>
  <si>
    <t>cm_report</t>
  </si>
  <si>
    <t>project</t>
  </si>
  <si>
    <t>mi</t>
  </si>
  <si>
    <t>Mast Installation</t>
  </si>
  <si>
    <t>md</t>
  </si>
  <si>
    <t>Mast Dismantle</t>
  </si>
  <si>
    <t>ma</t>
  </si>
  <si>
    <t>Mast Audit</t>
  </si>
  <si>
    <t>mc</t>
  </si>
  <si>
    <t>Mast CM</t>
  </si>
  <si>
    <t>bb</t>
  </si>
  <si>
    <t>Broadband</t>
  </si>
  <si>
    <t>department</t>
  </si>
  <si>
    <t>ops</t>
  </si>
  <si>
    <t>Operations</t>
  </si>
  <si>
    <t>acc</t>
  </si>
  <si>
    <t>Accounts</t>
  </si>
  <si>
    <t>hr</t>
  </si>
  <si>
    <t>HR</t>
  </si>
  <si>
    <t>mgmt</t>
  </si>
  <si>
    <t>Management</t>
  </si>
  <si>
    <t>it</t>
  </si>
  <si>
    <t>IT</t>
  </si>
  <si>
    <t>level</t>
  </si>
  <si>
    <t>l1</t>
  </si>
  <si>
    <t>Read Only</t>
  </si>
  <si>
    <t>l2</t>
  </si>
  <si>
    <t>Read and Write</t>
  </si>
  <si>
    <t>status</t>
  </si>
  <si>
    <t>open</t>
  </si>
  <si>
    <t>Open</t>
  </si>
  <si>
    <t>#ADD8E6</t>
  </si>
  <si>
    <t>perm_wait</t>
  </si>
  <si>
    <t>Permission Awaited</t>
  </si>
  <si>
    <t>#FFE5B4</t>
  </si>
  <si>
    <t>perm_issue</t>
  </si>
  <si>
    <t>Permission Issue</t>
  </si>
  <si>
    <t>#FFA500</t>
  </si>
  <si>
    <t>appr_wait</t>
  </si>
  <si>
    <t>Approval Awaited</t>
  </si>
  <si>
    <t>#E6F2FF</t>
  </si>
  <si>
    <t>hold</t>
  </si>
  <si>
    <t>Hold</t>
  </si>
  <si>
    <t>#FFD700</t>
  </si>
  <si>
    <t>down</t>
  </si>
  <si>
    <t>Down</t>
  </si>
  <si>
    <t>#FF0000</t>
  </si>
  <si>
    <t>live</t>
  </si>
  <si>
    <t>Live</t>
  </si>
  <si>
    <t>#008000</t>
  </si>
  <si>
    <t>term</t>
  </si>
  <si>
    <t>Terminated</t>
  </si>
  <si>
    <t>#FF8C00</t>
  </si>
  <si>
    <t>rect</t>
  </si>
  <si>
    <t>Rectification</t>
  </si>
  <si>
    <t>#E8FFE8</t>
  </si>
  <si>
    <t>cancel</t>
  </si>
  <si>
    <t>Cancelled</t>
  </si>
  <si>
    <t>#FFCCCC</t>
  </si>
  <si>
    <t>comp</t>
  </si>
  <si>
    <t>Completed</t>
  </si>
  <si>
    <t>#CCFFCC</t>
  </si>
  <si>
    <t>staged</t>
  </si>
  <si>
    <t>Staged</t>
  </si>
  <si>
    <t>#808080</t>
  </si>
  <si>
    <t>doc_state</t>
  </si>
  <si>
    <t>Pending</t>
  </si>
  <si>
    <t>Received</t>
  </si>
  <si>
    <t>Generated</t>
  </si>
  <si>
    <t>Raised</t>
  </si>
  <si>
    <t>Settled</t>
  </si>
  <si>
    <t>Signed</t>
  </si>
  <si>
    <t>Shared</t>
  </si>
  <si>
    <t>Rejected</t>
  </si>
  <si>
    <t>#FF9999</t>
  </si>
  <si>
    <t>badge_entity_map</t>
  </si>
  <si>
    <t>badge</t>
  </si>
  <si>
    <t>entity_type</t>
  </si>
  <si>
    <t>Table Name</t>
  </si>
  <si>
    <t>Purpose</t>
  </si>
  <si>
    <t>Defines all badges (project, department, level, status, doc_state)</t>
  </si>
  <si>
    <t>Defines logical entities (user, site, invoice, po, etc.)</t>
  </si>
  <si>
    <t>Controls which badge can apply to which entity</t>
  </si>
  <si>
    <t>Master project list (mi, md, ma, mc, bb)</t>
  </si>
  <si>
    <t>User accounts table</t>
  </si>
  <si>
    <t>schema_core</t>
  </si>
  <si>
    <t>null</t>
  </si>
  <si>
    <t>id (int, serial)</t>
  </si>
  <si>
    <t>description (text)</t>
  </si>
  <si>
    <t>color (text)</t>
  </si>
  <si>
    <t>badge_type (text, not null, unique)</t>
  </si>
  <si>
    <t>badge_key (text, not null, unique)</t>
  </si>
  <si>
    <t>code (text, unique)</t>
  </si>
  <si>
    <t>allow_multiple_badges (bool, default=true)</t>
  </si>
  <si>
    <t>id (int, serial, not null)</t>
  </si>
  <si>
    <t>entity_type_id (int, FK)</t>
  </si>
  <si>
    <t>Description</t>
  </si>
  <si>
    <t>badge_id (FK,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</si>
</sst>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E8FFE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BE53B-16EF-6F47-8F4B-48571349F3F8}">
  <sheetPr codeName="Sheet2"/>
  <dimension ref="A1:R43"/>
  <sheetViews>
    <sheetView tabSelected="1" workbookViewId="0">
      <selection activeCell="L21" sqref="L21"/>
    </sheetView>
  </sheetViews>
  <sheetFormatPr baseColWidth="10" defaultRowHeight="16" x14ac:dyDescent="0.2"/>
  <cols>
    <col min="1" max="1" width="16.1640625" style="1" customWidth="1"/>
    <col min="2" max="2" width="29.83203125" style="1" customWidth="1"/>
    <col min="4" max="4" width="10.83203125" style="1"/>
    <col min="5" max="5" width="13.83203125" style="1" customWidth="1"/>
    <col min="6" max="6" width="12.6640625" style="1" customWidth="1"/>
    <col min="7" max="7" width="12.83203125" style="1" customWidth="1"/>
    <col min="8" max="8" width="10.83203125" style="1"/>
    <col min="10" max="11" width="10.83203125" style="1"/>
    <col min="12" max="12" width="21.83203125" style="1" customWidth="1"/>
    <col min="14" max="14" width="10.83203125" style="1"/>
    <col min="15" max="15" width="13.1640625" style="1" customWidth="1"/>
    <col min="16" max="16" width="14.33203125" style="1" customWidth="1"/>
    <col min="17" max="17" width="10.83203125" style="1"/>
    <col min="18" max="18" width="10.83203125" style="19"/>
    <col min="19" max="16384" width="10.83203125" style="1"/>
  </cols>
  <sheetData>
    <row r="1" spans="1:18" ht="34" customHeight="1" x14ac:dyDescent="0.2">
      <c r="A1" s="4" t="s">
        <v>100</v>
      </c>
      <c r="B1" s="4"/>
      <c r="D1" s="4" t="s">
        <v>91</v>
      </c>
      <c r="E1" s="4"/>
      <c r="F1" s="4"/>
      <c r="G1" s="4"/>
      <c r="H1" s="4"/>
      <c r="J1" s="4" t="s">
        <v>92</v>
      </c>
      <c r="K1" s="4"/>
      <c r="L1" s="4"/>
      <c r="N1" s="4" t="s">
        <v>90</v>
      </c>
      <c r="O1" s="4"/>
      <c r="P1" s="4"/>
      <c r="Q1" s="4"/>
      <c r="R1" s="20"/>
    </row>
    <row r="2" spans="1:18" ht="51" x14ac:dyDescent="0.2">
      <c r="A2" s="2" t="s">
        <v>93</v>
      </c>
      <c r="B2" s="2" t="s">
        <v>94</v>
      </c>
      <c r="D2" s="2" t="s">
        <v>109</v>
      </c>
      <c r="E2" s="2" t="s">
        <v>105</v>
      </c>
      <c r="F2" s="2" t="s">
        <v>106</v>
      </c>
      <c r="G2" s="2" t="s">
        <v>103</v>
      </c>
      <c r="H2" s="2" t="s">
        <v>104</v>
      </c>
      <c r="J2" s="2" t="s">
        <v>102</v>
      </c>
      <c r="K2" s="2" t="s">
        <v>107</v>
      </c>
      <c r="L2" s="2" t="s">
        <v>108</v>
      </c>
      <c r="N2" s="2" t="s">
        <v>110</v>
      </c>
      <c r="O2" s="2" t="s">
        <v>112</v>
      </c>
      <c r="P2" s="5" t="s">
        <v>111</v>
      </c>
      <c r="Q2" s="5"/>
      <c r="R2" s="20"/>
    </row>
    <row r="3" spans="1:18" ht="34" x14ac:dyDescent="0.2">
      <c r="A3" s="3" t="s">
        <v>91</v>
      </c>
      <c r="B3" s="3" t="s">
        <v>95</v>
      </c>
      <c r="D3" s="3">
        <v>1</v>
      </c>
      <c r="E3" s="3" t="s">
        <v>16</v>
      </c>
      <c r="F3" s="3" t="s">
        <v>17</v>
      </c>
      <c r="G3" s="3" t="s">
        <v>18</v>
      </c>
      <c r="H3" s="3" t="s">
        <v>101</v>
      </c>
      <c r="J3" s="3">
        <v>1</v>
      </c>
      <c r="K3" s="3" t="s">
        <v>10</v>
      </c>
      <c r="L3" s="3" t="b">
        <v>1</v>
      </c>
      <c r="N3" s="3" t="s">
        <v>10</v>
      </c>
      <c r="O3" s="3">
        <f>_xlfn.XLOOKUP(Q3, F$3:F$34, D$3:D$34)</f>
        <v>1</v>
      </c>
      <c r="P3" s="3" t="s">
        <v>16</v>
      </c>
      <c r="Q3" s="3" t="s">
        <v>17</v>
      </c>
    </row>
    <row r="4" spans="1:18" ht="34" x14ac:dyDescent="0.2">
      <c r="A4" s="3" t="s">
        <v>92</v>
      </c>
      <c r="B4" s="3" t="s">
        <v>96</v>
      </c>
      <c r="D4" s="3">
        <v>2</v>
      </c>
      <c r="E4" s="3" t="s">
        <v>16</v>
      </c>
      <c r="F4" s="3" t="s">
        <v>19</v>
      </c>
      <c r="G4" s="3" t="s">
        <v>20</v>
      </c>
      <c r="H4" s="3" t="s">
        <v>101</v>
      </c>
      <c r="J4" s="3">
        <v>2</v>
      </c>
      <c r="K4" s="3" t="s">
        <v>11</v>
      </c>
      <c r="L4" s="3" t="b">
        <v>1</v>
      </c>
      <c r="N4" s="3" t="s">
        <v>10</v>
      </c>
      <c r="O4" s="3">
        <f t="shared" ref="O4:O43" si="0">_xlfn.XLOOKUP(Q4, F$3:F$34, D$3:D$34)</f>
        <v>2</v>
      </c>
      <c r="P4" s="3" t="s">
        <v>16</v>
      </c>
      <c r="Q4" s="3" t="s">
        <v>19</v>
      </c>
    </row>
    <row r="5" spans="1:18" ht="34" x14ac:dyDescent="0.2">
      <c r="A5" s="3" t="s">
        <v>90</v>
      </c>
      <c r="B5" s="3" t="s">
        <v>97</v>
      </c>
      <c r="D5" s="3">
        <v>3</v>
      </c>
      <c r="E5" s="3" t="s">
        <v>16</v>
      </c>
      <c r="F5" s="3" t="s">
        <v>21</v>
      </c>
      <c r="G5" s="3" t="s">
        <v>22</v>
      </c>
      <c r="H5" s="3" t="s">
        <v>101</v>
      </c>
      <c r="J5" s="3">
        <v>3</v>
      </c>
      <c r="K5" s="3" t="s">
        <v>0</v>
      </c>
      <c r="L5" s="3" t="b">
        <v>0</v>
      </c>
      <c r="N5" s="3" t="s">
        <v>10</v>
      </c>
      <c r="O5" s="3">
        <f t="shared" si="0"/>
        <v>3</v>
      </c>
      <c r="P5" s="3" t="s">
        <v>16</v>
      </c>
      <c r="Q5" s="3" t="s">
        <v>21</v>
      </c>
    </row>
    <row r="6" spans="1:18" ht="34" x14ac:dyDescent="0.2">
      <c r="A6" s="3" t="s">
        <v>16</v>
      </c>
      <c r="B6" s="3" t="s">
        <v>98</v>
      </c>
      <c r="D6" s="3">
        <v>4</v>
      </c>
      <c r="E6" s="3" t="s">
        <v>16</v>
      </c>
      <c r="F6" s="3" t="s">
        <v>23</v>
      </c>
      <c r="G6" s="3" t="s">
        <v>24</v>
      </c>
      <c r="H6" s="3" t="s">
        <v>101</v>
      </c>
      <c r="J6" s="3">
        <v>4</v>
      </c>
      <c r="K6" s="3" t="s">
        <v>12</v>
      </c>
      <c r="L6" s="3" t="b">
        <v>0</v>
      </c>
      <c r="N6" s="3" t="s">
        <v>10</v>
      </c>
      <c r="O6" s="3">
        <f t="shared" si="0"/>
        <v>4</v>
      </c>
      <c r="P6" s="3" t="s">
        <v>16</v>
      </c>
      <c r="Q6" s="3" t="s">
        <v>23</v>
      </c>
    </row>
    <row r="7" spans="1:18" ht="17" x14ac:dyDescent="0.2">
      <c r="A7" s="3" t="s">
        <v>10</v>
      </c>
      <c r="B7" s="3" t="s">
        <v>99</v>
      </c>
      <c r="D7" s="3">
        <v>5</v>
      </c>
      <c r="E7" s="3" t="s">
        <v>16</v>
      </c>
      <c r="F7" s="3" t="s">
        <v>25</v>
      </c>
      <c r="G7" s="3" t="s">
        <v>26</v>
      </c>
      <c r="H7" s="3" t="s">
        <v>101</v>
      </c>
      <c r="J7" s="3">
        <v>5</v>
      </c>
      <c r="K7" s="3" t="s">
        <v>1</v>
      </c>
      <c r="L7" s="3" t="b">
        <v>0</v>
      </c>
      <c r="N7" s="3" t="s">
        <v>10</v>
      </c>
      <c r="O7" s="3">
        <f t="shared" si="0"/>
        <v>5</v>
      </c>
      <c r="P7" s="3" t="s">
        <v>16</v>
      </c>
      <c r="Q7" s="3" t="s">
        <v>25</v>
      </c>
    </row>
    <row r="8" spans="1:18" ht="17" x14ac:dyDescent="0.2">
      <c r="D8" s="3">
        <v>6</v>
      </c>
      <c r="E8" s="3" t="s">
        <v>27</v>
      </c>
      <c r="F8" s="3" t="s">
        <v>28</v>
      </c>
      <c r="G8" s="3" t="s">
        <v>29</v>
      </c>
      <c r="H8" s="3" t="s">
        <v>101</v>
      </c>
      <c r="J8" s="3">
        <v>6</v>
      </c>
      <c r="K8" s="3" t="s">
        <v>13</v>
      </c>
      <c r="L8" s="3" t="b">
        <v>0</v>
      </c>
      <c r="N8" s="3" t="s">
        <v>10</v>
      </c>
      <c r="O8" s="3">
        <f t="shared" si="0"/>
        <v>6</v>
      </c>
      <c r="P8" s="3" t="s">
        <v>27</v>
      </c>
      <c r="Q8" s="3" t="s">
        <v>28</v>
      </c>
    </row>
    <row r="9" spans="1:18" ht="17" x14ac:dyDescent="0.2">
      <c r="D9" s="3">
        <v>7</v>
      </c>
      <c r="E9" s="3" t="s">
        <v>27</v>
      </c>
      <c r="F9" s="3" t="s">
        <v>30</v>
      </c>
      <c r="G9" s="3" t="s">
        <v>31</v>
      </c>
      <c r="H9" s="3" t="s">
        <v>101</v>
      </c>
      <c r="J9" s="3">
        <v>7</v>
      </c>
      <c r="K9" s="3" t="s">
        <v>14</v>
      </c>
      <c r="L9" s="3" t="b">
        <v>0</v>
      </c>
      <c r="N9" s="3" t="s">
        <v>10</v>
      </c>
      <c r="O9" s="3">
        <f t="shared" si="0"/>
        <v>7</v>
      </c>
      <c r="P9" s="3" t="s">
        <v>27</v>
      </c>
      <c r="Q9" s="3" t="s">
        <v>30</v>
      </c>
    </row>
    <row r="10" spans="1:18" ht="17" x14ac:dyDescent="0.2">
      <c r="D10" s="3">
        <v>8</v>
      </c>
      <c r="E10" s="3" t="s">
        <v>27</v>
      </c>
      <c r="F10" s="3" t="s">
        <v>32</v>
      </c>
      <c r="G10" s="3" t="s">
        <v>33</v>
      </c>
      <c r="H10" s="3" t="s">
        <v>101</v>
      </c>
      <c r="J10" s="3">
        <v>8</v>
      </c>
      <c r="K10" s="3" t="s">
        <v>15</v>
      </c>
      <c r="L10" s="3" t="b">
        <v>0</v>
      </c>
      <c r="N10" s="3" t="s">
        <v>10</v>
      </c>
      <c r="O10" s="3">
        <f t="shared" si="0"/>
        <v>8</v>
      </c>
      <c r="P10" s="3" t="s">
        <v>27</v>
      </c>
      <c r="Q10" s="3" t="s">
        <v>32</v>
      </c>
    </row>
    <row r="11" spans="1:18" ht="17" x14ac:dyDescent="0.2">
      <c r="D11" s="3">
        <v>9</v>
      </c>
      <c r="E11" s="3" t="s">
        <v>27</v>
      </c>
      <c r="F11" s="3" t="s">
        <v>34</v>
      </c>
      <c r="G11" s="3" t="s">
        <v>35</v>
      </c>
      <c r="H11" s="3" t="s">
        <v>101</v>
      </c>
      <c r="N11" s="3" t="s">
        <v>10</v>
      </c>
      <c r="O11" s="3">
        <f t="shared" si="0"/>
        <v>9</v>
      </c>
      <c r="P11" s="3" t="s">
        <v>27</v>
      </c>
      <c r="Q11" s="3" t="s">
        <v>34</v>
      </c>
    </row>
    <row r="12" spans="1:18" ht="17" x14ac:dyDescent="0.2">
      <c r="D12" s="3">
        <v>12</v>
      </c>
      <c r="E12" s="3" t="s">
        <v>27</v>
      </c>
      <c r="F12" s="3" t="s">
        <v>36</v>
      </c>
      <c r="G12" s="3" t="s">
        <v>37</v>
      </c>
      <c r="H12" s="3" t="s">
        <v>101</v>
      </c>
      <c r="N12" s="3" t="s">
        <v>10</v>
      </c>
      <c r="O12" s="3">
        <f t="shared" si="0"/>
        <v>12</v>
      </c>
      <c r="P12" s="3" t="s">
        <v>27</v>
      </c>
      <c r="Q12" s="3" t="s">
        <v>36</v>
      </c>
    </row>
    <row r="13" spans="1:18" ht="17" x14ac:dyDescent="0.2">
      <c r="D13" s="3">
        <v>10</v>
      </c>
      <c r="E13" s="3" t="s">
        <v>38</v>
      </c>
      <c r="F13" s="3" t="s">
        <v>39</v>
      </c>
      <c r="G13" s="3" t="s">
        <v>40</v>
      </c>
      <c r="H13" s="3" t="s">
        <v>101</v>
      </c>
      <c r="N13" s="3" t="s">
        <v>10</v>
      </c>
      <c r="O13" s="3">
        <f t="shared" si="0"/>
        <v>10</v>
      </c>
      <c r="P13" s="3" t="s">
        <v>38</v>
      </c>
      <c r="Q13" s="3" t="s">
        <v>39</v>
      </c>
    </row>
    <row r="14" spans="1:18" ht="34" x14ac:dyDescent="0.2">
      <c r="D14" s="3">
        <v>11</v>
      </c>
      <c r="E14" s="3" t="s">
        <v>38</v>
      </c>
      <c r="F14" s="3" t="s">
        <v>41</v>
      </c>
      <c r="G14" s="3" t="s">
        <v>42</v>
      </c>
      <c r="H14" s="3" t="s">
        <v>101</v>
      </c>
      <c r="N14" s="3" t="s">
        <v>10</v>
      </c>
      <c r="O14" s="3">
        <f t="shared" si="0"/>
        <v>11</v>
      </c>
      <c r="P14" s="3" t="s">
        <v>38</v>
      </c>
      <c r="Q14" s="3" t="s">
        <v>41</v>
      </c>
    </row>
    <row r="15" spans="1:18" ht="17" x14ac:dyDescent="0.2">
      <c r="D15" s="3">
        <v>13</v>
      </c>
      <c r="E15" s="3" t="s">
        <v>43</v>
      </c>
      <c r="F15" s="3" t="s">
        <v>44</v>
      </c>
      <c r="G15" s="3" t="s">
        <v>45</v>
      </c>
      <c r="H15" s="6" t="s">
        <v>46</v>
      </c>
      <c r="N15" s="3" t="s">
        <v>11</v>
      </c>
      <c r="O15" s="3">
        <f t="shared" si="0"/>
        <v>13</v>
      </c>
      <c r="P15" s="3" t="s">
        <v>43</v>
      </c>
      <c r="Q15" s="3" t="s">
        <v>44</v>
      </c>
    </row>
    <row r="16" spans="1:18" ht="34" x14ac:dyDescent="0.2">
      <c r="D16" s="3">
        <v>14</v>
      </c>
      <c r="E16" s="3" t="s">
        <v>43</v>
      </c>
      <c r="F16" s="3" t="s">
        <v>47</v>
      </c>
      <c r="G16" s="3" t="s">
        <v>48</v>
      </c>
      <c r="H16" s="7" t="s">
        <v>49</v>
      </c>
      <c r="N16" s="3" t="s">
        <v>11</v>
      </c>
      <c r="O16" s="3">
        <f t="shared" si="0"/>
        <v>14</v>
      </c>
      <c r="P16" s="3" t="s">
        <v>43</v>
      </c>
      <c r="Q16" s="3" t="s">
        <v>47</v>
      </c>
    </row>
    <row r="17" spans="4:17" ht="34" x14ac:dyDescent="0.2">
      <c r="D17" s="3">
        <v>15</v>
      </c>
      <c r="E17" s="3" t="s">
        <v>43</v>
      </c>
      <c r="F17" s="3" t="s">
        <v>50</v>
      </c>
      <c r="G17" s="3" t="s">
        <v>51</v>
      </c>
      <c r="H17" s="8" t="s">
        <v>52</v>
      </c>
      <c r="N17" s="3" t="s">
        <v>11</v>
      </c>
      <c r="O17" s="3">
        <f t="shared" si="0"/>
        <v>15</v>
      </c>
      <c r="P17" s="3" t="s">
        <v>43</v>
      </c>
      <c r="Q17" s="3" t="s">
        <v>50</v>
      </c>
    </row>
    <row r="18" spans="4:17" ht="34" x14ac:dyDescent="0.2">
      <c r="D18" s="3">
        <v>16</v>
      </c>
      <c r="E18" s="3" t="s">
        <v>43</v>
      </c>
      <c r="F18" s="3" t="s">
        <v>53</v>
      </c>
      <c r="G18" s="3" t="s">
        <v>54</v>
      </c>
      <c r="H18" s="9" t="s">
        <v>55</v>
      </c>
      <c r="N18" s="3" t="s">
        <v>11</v>
      </c>
      <c r="O18" s="3">
        <f t="shared" si="0"/>
        <v>16</v>
      </c>
      <c r="P18" s="3" t="s">
        <v>43</v>
      </c>
      <c r="Q18" s="3" t="s">
        <v>53</v>
      </c>
    </row>
    <row r="19" spans="4:17" ht="17" x14ac:dyDescent="0.2">
      <c r="D19" s="3">
        <v>17</v>
      </c>
      <c r="E19" s="3" t="s">
        <v>43</v>
      </c>
      <c r="F19" s="3" t="s">
        <v>56</v>
      </c>
      <c r="G19" s="3" t="s">
        <v>57</v>
      </c>
      <c r="H19" s="10" t="s">
        <v>58</v>
      </c>
      <c r="N19" s="3" t="s">
        <v>11</v>
      </c>
      <c r="O19" s="3">
        <f t="shared" si="0"/>
        <v>17</v>
      </c>
      <c r="P19" s="3" t="s">
        <v>43</v>
      </c>
      <c r="Q19" s="3" t="s">
        <v>56</v>
      </c>
    </row>
    <row r="20" spans="4:17" ht="17" x14ac:dyDescent="0.2">
      <c r="D20" s="3">
        <v>18</v>
      </c>
      <c r="E20" s="3" t="s">
        <v>43</v>
      </c>
      <c r="F20" s="3" t="s">
        <v>59</v>
      </c>
      <c r="G20" s="3" t="s">
        <v>60</v>
      </c>
      <c r="H20" s="11" t="s">
        <v>61</v>
      </c>
      <c r="N20" s="3" t="s">
        <v>11</v>
      </c>
      <c r="O20" s="3">
        <f t="shared" si="0"/>
        <v>18</v>
      </c>
      <c r="P20" s="3" t="s">
        <v>43</v>
      </c>
      <c r="Q20" s="3" t="s">
        <v>59</v>
      </c>
    </row>
    <row r="21" spans="4:17" ht="17" x14ac:dyDescent="0.2">
      <c r="D21" s="3">
        <v>19</v>
      </c>
      <c r="E21" s="3" t="s">
        <v>43</v>
      </c>
      <c r="F21" s="3" t="s">
        <v>62</v>
      </c>
      <c r="G21" s="3" t="s">
        <v>63</v>
      </c>
      <c r="H21" s="12" t="s">
        <v>64</v>
      </c>
      <c r="N21" s="3" t="s">
        <v>11</v>
      </c>
      <c r="O21" s="3">
        <f t="shared" si="0"/>
        <v>19</v>
      </c>
      <c r="P21" s="3" t="s">
        <v>43</v>
      </c>
      <c r="Q21" s="3" t="s">
        <v>62</v>
      </c>
    </row>
    <row r="22" spans="4:17" ht="17" x14ac:dyDescent="0.2">
      <c r="D22" s="3">
        <v>20</v>
      </c>
      <c r="E22" s="3" t="s">
        <v>43</v>
      </c>
      <c r="F22" s="3" t="s">
        <v>65</v>
      </c>
      <c r="G22" s="3" t="s">
        <v>66</v>
      </c>
      <c r="H22" s="13" t="s">
        <v>67</v>
      </c>
      <c r="N22" s="3" t="s">
        <v>11</v>
      </c>
      <c r="O22" s="3">
        <f t="shared" si="0"/>
        <v>20</v>
      </c>
      <c r="P22" s="3" t="s">
        <v>43</v>
      </c>
      <c r="Q22" s="3" t="s">
        <v>65</v>
      </c>
    </row>
    <row r="23" spans="4:17" ht="17" x14ac:dyDescent="0.2">
      <c r="D23" s="3">
        <v>21</v>
      </c>
      <c r="E23" s="3" t="s">
        <v>43</v>
      </c>
      <c r="F23" s="3" t="s">
        <v>68</v>
      </c>
      <c r="G23" s="3" t="s">
        <v>69</v>
      </c>
      <c r="H23" s="14" t="s">
        <v>70</v>
      </c>
      <c r="N23" s="3" t="s">
        <v>11</v>
      </c>
      <c r="O23" s="3">
        <f t="shared" si="0"/>
        <v>21</v>
      </c>
      <c r="P23" s="3" t="s">
        <v>43</v>
      </c>
      <c r="Q23" s="3" t="s">
        <v>68</v>
      </c>
    </row>
    <row r="24" spans="4:17" ht="17" x14ac:dyDescent="0.2">
      <c r="D24" s="3">
        <v>22</v>
      </c>
      <c r="E24" s="3" t="s">
        <v>43</v>
      </c>
      <c r="F24" s="3" t="s">
        <v>71</v>
      </c>
      <c r="G24" s="3" t="s">
        <v>72</v>
      </c>
      <c r="H24" s="15" t="s">
        <v>73</v>
      </c>
      <c r="N24" s="3" t="s">
        <v>11</v>
      </c>
      <c r="O24" s="3">
        <f t="shared" si="0"/>
        <v>22</v>
      </c>
      <c r="P24" s="3" t="s">
        <v>43</v>
      </c>
      <c r="Q24" s="3" t="s">
        <v>71</v>
      </c>
    </row>
    <row r="25" spans="4:17" ht="17" x14ac:dyDescent="0.2">
      <c r="D25" s="3">
        <v>23</v>
      </c>
      <c r="E25" s="3" t="s">
        <v>43</v>
      </c>
      <c r="F25" s="3" t="s">
        <v>74</v>
      </c>
      <c r="G25" s="3" t="s">
        <v>75</v>
      </c>
      <c r="H25" s="16" t="s">
        <v>76</v>
      </c>
      <c r="N25" s="3" t="s">
        <v>11</v>
      </c>
      <c r="O25" s="3">
        <f t="shared" si="0"/>
        <v>23</v>
      </c>
      <c r="P25" s="3" t="s">
        <v>43</v>
      </c>
      <c r="Q25" s="3" t="s">
        <v>74</v>
      </c>
    </row>
    <row r="26" spans="4:17" ht="17" x14ac:dyDescent="0.2">
      <c r="D26" s="3">
        <v>24</v>
      </c>
      <c r="E26" s="3" t="s">
        <v>43</v>
      </c>
      <c r="F26" s="3" t="s">
        <v>77</v>
      </c>
      <c r="G26" s="3" t="s">
        <v>78</v>
      </c>
      <c r="H26" s="17" t="s">
        <v>79</v>
      </c>
      <c r="N26" s="3" t="s">
        <v>11</v>
      </c>
      <c r="O26" s="3">
        <f t="shared" si="0"/>
        <v>24</v>
      </c>
      <c r="P26" s="3" t="s">
        <v>43</v>
      </c>
      <c r="Q26" s="3" t="s">
        <v>77</v>
      </c>
    </row>
    <row r="27" spans="4:17" ht="17" x14ac:dyDescent="0.2">
      <c r="D27" s="3">
        <v>25</v>
      </c>
      <c r="E27" s="3" t="s">
        <v>80</v>
      </c>
      <c r="F27" s="3" t="s">
        <v>6</v>
      </c>
      <c r="G27" s="3" t="s">
        <v>81</v>
      </c>
      <c r="H27" s="15" t="s">
        <v>73</v>
      </c>
      <c r="N27" s="3" t="s">
        <v>12</v>
      </c>
      <c r="O27" s="3">
        <f t="shared" si="0"/>
        <v>25</v>
      </c>
      <c r="P27" s="3" t="s">
        <v>80</v>
      </c>
      <c r="Q27" s="3" t="s">
        <v>6</v>
      </c>
    </row>
    <row r="28" spans="4:17" ht="17" x14ac:dyDescent="0.2">
      <c r="D28" s="3">
        <v>26</v>
      </c>
      <c r="E28" s="3" t="s">
        <v>80</v>
      </c>
      <c r="F28" s="3" t="s">
        <v>9</v>
      </c>
      <c r="G28" s="3" t="s">
        <v>82</v>
      </c>
      <c r="H28" s="16" t="s">
        <v>76</v>
      </c>
      <c r="N28" s="3" t="s">
        <v>12</v>
      </c>
      <c r="O28" s="3">
        <f t="shared" si="0"/>
        <v>26</v>
      </c>
      <c r="P28" s="3" t="s">
        <v>80</v>
      </c>
      <c r="Q28" s="3" t="s">
        <v>9</v>
      </c>
    </row>
    <row r="29" spans="4:17" ht="17" x14ac:dyDescent="0.2">
      <c r="D29" s="3">
        <v>27</v>
      </c>
      <c r="E29" s="3" t="s">
        <v>80</v>
      </c>
      <c r="F29" s="3" t="s">
        <v>7</v>
      </c>
      <c r="G29" s="3" t="s">
        <v>83</v>
      </c>
      <c r="H29" s="9" t="s">
        <v>55</v>
      </c>
      <c r="N29" s="3" t="s">
        <v>0</v>
      </c>
      <c r="O29" s="3">
        <f t="shared" si="0"/>
        <v>25</v>
      </c>
      <c r="P29" s="3" t="s">
        <v>80</v>
      </c>
      <c r="Q29" s="3" t="s">
        <v>6</v>
      </c>
    </row>
    <row r="30" spans="4:17" ht="17" x14ac:dyDescent="0.2">
      <c r="D30" s="3">
        <v>28</v>
      </c>
      <c r="E30" s="3" t="s">
        <v>80</v>
      </c>
      <c r="F30" s="3" t="s">
        <v>2</v>
      </c>
      <c r="G30" s="3" t="s">
        <v>84</v>
      </c>
      <c r="H30" s="6" t="s">
        <v>46</v>
      </c>
      <c r="N30" s="3" t="s">
        <v>0</v>
      </c>
      <c r="O30" s="3">
        <f t="shared" si="0"/>
        <v>27</v>
      </c>
      <c r="P30" s="3" t="s">
        <v>80</v>
      </c>
      <c r="Q30" s="3" t="s">
        <v>7</v>
      </c>
    </row>
    <row r="31" spans="4:17" ht="17" x14ac:dyDescent="0.2">
      <c r="D31" s="3">
        <v>29</v>
      </c>
      <c r="E31" s="3" t="s">
        <v>80</v>
      </c>
      <c r="F31" s="3" t="s">
        <v>8</v>
      </c>
      <c r="G31" s="3" t="s">
        <v>85</v>
      </c>
      <c r="H31" s="12" t="s">
        <v>64</v>
      </c>
      <c r="N31" s="3" t="s">
        <v>0</v>
      </c>
      <c r="O31" s="3">
        <f t="shared" si="0"/>
        <v>28</v>
      </c>
      <c r="P31" s="3" t="s">
        <v>80</v>
      </c>
      <c r="Q31" s="3" t="s">
        <v>2</v>
      </c>
    </row>
    <row r="32" spans="4:17" ht="17" x14ac:dyDescent="0.2">
      <c r="D32" s="3">
        <v>30</v>
      </c>
      <c r="E32" s="3" t="s">
        <v>80</v>
      </c>
      <c r="F32" s="3" t="s">
        <v>3</v>
      </c>
      <c r="G32" s="3" t="s">
        <v>86</v>
      </c>
      <c r="H32" s="16" t="s">
        <v>76</v>
      </c>
      <c r="N32" s="3" t="s">
        <v>0</v>
      </c>
      <c r="O32" s="3">
        <f t="shared" si="0"/>
        <v>39</v>
      </c>
      <c r="P32" s="3" t="s">
        <v>80</v>
      </c>
      <c r="Q32" s="3" t="s">
        <v>5</v>
      </c>
    </row>
    <row r="33" spans="4:17" ht="17" x14ac:dyDescent="0.2">
      <c r="D33" s="3">
        <v>31</v>
      </c>
      <c r="E33" s="3" t="s">
        <v>80</v>
      </c>
      <c r="F33" s="3" t="s">
        <v>4</v>
      </c>
      <c r="G33" s="3" t="s">
        <v>87</v>
      </c>
      <c r="H33" s="16" t="s">
        <v>76</v>
      </c>
      <c r="N33" s="3" t="s">
        <v>0</v>
      </c>
      <c r="O33" s="3">
        <f t="shared" si="0"/>
        <v>29</v>
      </c>
      <c r="P33" s="3" t="s">
        <v>80</v>
      </c>
      <c r="Q33" s="3" t="s">
        <v>8</v>
      </c>
    </row>
    <row r="34" spans="4:17" ht="17" x14ac:dyDescent="0.2">
      <c r="D34" s="3">
        <v>39</v>
      </c>
      <c r="E34" s="3" t="s">
        <v>80</v>
      </c>
      <c r="F34" s="3" t="s">
        <v>5</v>
      </c>
      <c r="G34" s="3" t="s">
        <v>88</v>
      </c>
      <c r="H34" s="18" t="s">
        <v>89</v>
      </c>
      <c r="N34" s="3" t="s">
        <v>1</v>
      </c>
      <c r="O34" s="3">
        <f t="shared" si="0"/>
        <v>25</v>
      </c>
      <c r="P34" s="3" t="s">
        <v>80</v>
      </c>
      <c r="Q34" s="3" t="s">
        <v>6</v>
      </c>
    </row>
    <row r="35" spans="4:17" ht="17" x14ac:dyDescent="0.2">
      <c r="N35" s="3" t="s">
        <v>1</v>
      </c>
      <c r="O35" s="3">
        <f t="shared" si="0"/>
        <v>30</v>
      </c>
      <c r="P35" s="3" t="s">
        <v>80</v>
      </c>
      <c r="Q35" s="3" t="s">
        <v>3</v>
      </c>
    </row>
    <row r="36" spans="4:17" ht="17" x14ac:dyDescent="0.2">
      <c r="N36" s="3" t="s">
        <v>13</v>
      </c>
      <c r="O36" s="3">
        <f t="shared" si="0"/>
        <v>25</v>
      </c>
      <c r="P36" s="3" t="s">
        <v>80</v>
      </c>
      <c r="Q36" s="3" t="s">
        <v>6</v>
      </c>
    </row>
    <row r="37" spans="4:17" ht="17" x14ac:dyDescent="0.2">
      <c r="N37" s="3" t="s">
        <v>13</v>
      </c>
      <c r="O37" s="3">
        <f t="shared" si="0"/>
        <v>30</v>
      </c>
      <c r="P37" s="3" t="s">
        <v>80</v>
      </c>
      <c r="Q37" s="3" t="s">
        <v>3</v>
      </c>
    </row>
    <row r="38" spans="4:17" ht="17" x14ac:dyDescent="0.2">
      <c r="N38" s="3" t="s">
        <v>14</v>
      </c>
      <c r="O38" s="3">
        <f t="shared" si="0"/>
        <v>25</v>
      </c>
      <c r="P38" s="3" t="s">
        <v>80</v>
      </c>
      <c r="Q38" s="3" t="s">
        <v>6</v>
      </c>
    </row>
    <row r="39" spans="4:17" ht="17" x14ac:dyDescent="0.2">
      <c r="N39" s="3" t="s">
        <v>14</v>
      </c>
      <c r="O39" s="3">
        <f t="shared" si="0"/>
        <v>27</v>
      </c>
      <c r="P39" s="3" t="s">
        <v>80</v>
      </c>
      <c r="Q39" s="3" t="s">
        <v>7</v>
      </c>
    </row>
    <row r="40" spans="4:17" ht="17" x14ac:dyDescent="0.2">
      <c r="N40" s="3" t="s">
        <v>14</v>
      </c>
      <c r="O40" s="3">
        <f t="shared" si="0"/>
        <v>31</v>
      </c>
      <c r="P40" s="3" t="s">
        <v>80</v>
      </c>
      <c r="Q40" s="3" t="s">
        <v>4</v>
      </c>
    </row>
    <row r="41" spans="4:17" ht="17" x14ac:dyDescent="0.2">
      <c r="N41" s="3" t="s">
        <v>15</v>
      </c>
      <c r="O41" s="3">
        <f t="shared" si="0"/>
        <v>25</v>
      </c>
      <c r="P41" s="3" t="s">
        <v>80</v>
      </c>
      <c r="Q41" s="3" t="s">
        <v>6</v>
      </c>
    </row>
    <row r="42" spans="4:17" ht="17" x14ac:dyDescent="0.2">
      <c r="N42" s="3" t="s">
        <v>15</v>
      </c>
      <c r="O42" s="3">
        <f t="shared" si="0"/>
        <v>27</v>
      </c>
      <c r="P42" s="3" t="s">
        <v>80</v>
      </c>
      <c r="Q42" s="3" t="s">
        <v>7</v>
      </c>
    </row>
    <row r="43" spans="4:17" ht="17" x14ac:dyDescent="0.2">
      <c r="N43" s="3" t="s">
        <v>15</v>
      </c>
      <c r="O43" s="3">
        <f t="shared" si="0"/>
        <v>31</v>
      </c>
      <c r="P43" s="3" t="s">
        <v>80</v>
      </c>
      <c r="Q43" s="3" t="s">
        <v>4</v>
      </c>
    </row>
  </sheetData>
  <mergeCells count="5">
    <mergeCell ref="J1:L1"/>
    <mergeCell ref="A1:B1"/>
    <mergeCell ref="D1:H1"/>
    <mergeCell ref="P2:Q2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Axe4423</dc:creator>
  <cp:lastModifiedBy>Axe4423</cp:lastModifiedBy>
  <dcterms:created xsi:type="dcterms:W3CDTF">2026-02-26T14:17:35Z</dcterms:created>
  <dcterms:modified xsi:type="dcterms:W3CDTF">2026-02-26T17:28:00Z</dcterms:modified>
</cp:coreProperties>
</file>
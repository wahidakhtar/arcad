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wahidakhtar/software/docs/"/>
    </mc:Choice>
  </mc:AlternateContent>
  <xr:revisionPtr revIDLastSave="0" documentId="13_ncr:1_{45D66FE2-C309-9D47-AC14-C309E5A2773F}" xr6:coauthVersionLast="47" xr6:coauthVersionMax="47" xr10:uidLastSave="{00000000-0000-0000-0000-000000000000}"/>
  <bookViews>
    <workbookView xWindow="0" yWindow="660" windowWidth="30240" windowHeight="18980" activeTab="13" xr2:uid="{D3E83B99-027E-4143-A195-C99C62BA1DBF}"/>
  </bookViews>
  <sheets>
    <sheet name="schema_core" sheetId="4" r:id="rId1"/>
    <sheet name="schema_mi" sheetId="6" r:id="rId2"/>
    <sheet name="schema_md" sheetId="9" r:id="rId3"/>
    <sheet name="schema_ma" sheetId="8" r:id="rId4"/>
    <sheet name="schema_mc" sheetId="10" r:id="rId5"/>
    <sheet name="schema_bb" sheetId="11" r:id="rId6"/>
    <sheet name="schema_ops" sheetId="7" r:id="rId7"/>
    <sheet name="schema_acc" sheetId="5" r:id="rId8"/>
    <sheet name="schema_hr" sheetId="14" r:id="rId9"/>
    <sheet name="schema_updates" sheetId="13" r:id="rId10"/>
    <sheet name="sidebar" sheetId="12" r:id="rId11"/>
    <sheet name="po invoice" sheetId="17" r:id="rId12"/>
    <sheet name="people" sheetId="18" r:id="rId13"/>
    <sheet name="project" sheetId="19" r:id="rId14"/>
    <sheet name="site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P3" i="6"/>
</calcChain>
</file>

<file path=xl/sharedStrings.xml><?xml version="1.0" encoding="utf-8"?>
<sst xmlns="http://schemas.openxmlformats.org/spreadsheetml/2006/main" count="2097" uniqueCount="640">
  <si>
    <t>invoice</t>
  </si>
  <si>
    <t>wcc</t>
  </si>
  <si>
    <t>pend</t>
  </si>
  <si>
    <t>gen</t>
  </si>
  <si>
    <t>rec</t>
  </si>
  <si>
    <t>user</t>
  </si>
  <si>
    <t>site</t>
  </si>
  <si>
    <t>project</t>
  </si>
  <si>
    <t>mi</t>
  </si>
  <si>
    <t>Mast Installation</t>
  </si>
  <si>
    <t>md</t>
  </si>
  <si>
    <t>Mast Dismantle</t>
  </si>
  <si>
    <t>ma</t>
  </si>
  <si>
    <t>Mast Audit</t>
  </si>
  <si>
    <t>mc</t>
  </si>
  <si>
    <t>Mast CM</t>
  </si>
  <si>
    <t>bb</t>
  </si>
  <si>
    <t>Broadband</t>
  </si>
  <si>
    <t>department</t>
  </si>
  <si>
    <t>ops</t>
  </si>
  <si>
    <t>Operations</t>
  </si>
  <si>
    <t>acc</t>
  </si>
  <si>
    <t>Accounts</t>
  </si>
  <si>
    <t>hr</t>
  </si>
  <si>
    <t>HR</t>
  </si>
  <si>
    <t>mgmt</t>
  </si>
  <si>
    <t>Management</t>
  </si>
  <si>
    <t>level</t>
  </si>
  <si>
    <t>l1</t>
  </si>
  <si>
    <t>l2</t>
  </si>
  <si>
    <t>status</t>
  </si>
  <si>
    <t>Permission Awaited</t>
  </si>
  <si>
    <t>Permission Issue</t>
  </si>
  <si>
    <t>Approval Awaited</t>
  </si>
  <si>
    <t>hold</t>
  </si>
  <si>
    <t>Hold</t>
  </si>
  <si>
    <t>down</t>
  </si>
  <si>
    <t>Down</t>
  </si>
  <si>
    <t>live</t>
  </si>
  <si>
    <t>Live</t>
  </si>
  <si>
    <t>term</t>
  </si>
  <si>
    <t>Terminated</t>
  </si>
  <si>
    <t>rect</t>
  </si>
  <si>
    <t>Rectification</t>
  </si>
  <si>
    <t>cancel</t>
  </si>
  <si>
    <t>Cancelled</t>
  </si>
  <si>
    <t>comp</t>
  </si>
  <si>
    <t>Completed</t>
  </si>
  <si>
    <t>Staged</t>
  </si>
  <si>
    <t>Pending</t>
  </si>
  <si>
    <t>Received</t>
  </si>
  <si>
    <t>Generated</t>
  </si>
  <si>
    <t>Raised</t>
  </si>
  <si>
    <t>Settled</t>
  </si>
  <si>
    <t>Signed</t>
  </si>
  <si>
    <t>Shared</t>
  </si>
  <si>
    <t>Rejected</t>
  </si>
  <si>
    <t>null</t>
  </si>
  <si>
    <t>#0AACE8</t>
  </si>
  <si>
    <t>#93DCF9</t>
  </si>
  <si>
    <t>#F1CA00</t>
  </si>
  <si>
    <t>#FEFE01</t>
  </si>
  <si>
    <t>#FD0000</t>
  </si>
  <si>
    <t>#92D050</t>
  </si>
  <si>
    <t>#F3C214</t>
  </si>
  <si>
    <t>#E3EDD2</t>
  </si>
  <si>
    <t>#F2D0D3</t>
  </si>
  <si>
    <t>#7F7F7F</t>
  </si>
  <si>
    <t>date</t>
  </si>
  <si>
    <t>l3</t>
  </si>
  <si>
    <t>rate_card</t>
  </si>
  <si>
    <t>key</t>
  </si>
  <si>
    <t>type</t>
  </si>
  <si>
    <t>id</t>
  </si>
  <si>
    <t>color</t>
  </si>
  <si>
    <t>fo</t>
  </si>
  <si>
    <t>FO</t>
  </si>
  <si>
    <t>Level 3</t>
  </si>
  <si>
    <t>level 2</t>
  </si>
  <si>
    <t>Level 1</t>
  </si>
  <si>
    <t>cost</t>
  </si>
  <si>
    <t>lable</t>
  </si>
  <si>
    <t>+1</t>
  </si>
  <si>
    <t>add</t>
  </si>
  <si>
    <t>doc_status</t>
  </si>
  <si>
    <t>Earthpit</t>
  </si>
  <si>
    <t>ec</t>
  </si>
  <si>
    <t>ep</t>
  </si>
  <si>
    <t>sites</t>
  </si>
  <si>
    <t>users</t>
  </si>
  <si>
    <t>roles</t>
  </si>
  <si>
    <t>role_id (FK)</t>
  </si>
  <si>
    <t>role_key</t>
  </si>
  <si>
    <t>badges</t>
  </si>
  <si>
    <t>jobs</t>
  </si>
  <si>
    <t>name</t>
  </si>
  <si>
    <t>username</t>
  </si>
  <si>
    <t>password</t>
  </si>
  <si>
    <t>adhaar</t>
  </si>
  <si>
    <t>upi</t>
  </si>
  <si>
    <t>Saddam Ahmed</t>
  </si>
  <si>
    <t>saddam</t>
  </si>
  <si>
    <t>XXXX</t>
  </si>
  <si>
    <t>****</t>
  </si>
  <si>
    <t>123@abc</t>
  </si>
  <si>
    <t>active</t>
  </si>
  <si>
    <t>t</t>
  </si>
  <si>
    <t>default</t>
  </si>
  <si>
    <t>mgmtl3</t>
  </si>
  <si>
    <t>Wahid Akhtar</t>
  </si>
  <si>
    <t>wahid</t>
  </si>
  <si>
    <t>Saquib Ansari</t>
  </si>
  <si>
    <t>saquib</t>
  </si>
  <si>
    <t>Riya Kumari</t>
  </si>
  <si>
    <t>riya</t>
  </si>
  <si>
    <t>Vaishali Raj</t>
  </si>
  <si>
    <t>vaishali</t>
  </si>
  <si>
    <t>Sonal Wade</t>
  </si>
  <si>
    <t>Shivani Pardeshi</t>
  </si>
  <si>
    <t>Babita Kumari</t>
  </si>
  <si>
    <t>Tamanna Parveen</t>
  </si>
  <si>
    <t>Ashwini Gulhane</t>
  </si>
  <si>
    <t>Sarita</t>
  </si>
  <si>
    <t>Anushka Kumari</t>
  </si>
  <si>
    <t>Sandeep Mehta</t>
  </si>
  <si>
    <t>sonal</t>
  </si>
  <si>
    <t>shivani</t>
  </si>
  <si>
    <t>babita</t>
  </si>
  <si>
    <t>tamanna</t>
  </si>
  <si>
    <t>ashwini</t>
  </si>
  <si>
    <t>sarita</t>
  </si>
  <si>
    <t>anushka</t>
  </si>
  <si>
    <t>sandeep</t>
  </si>
  <si>
    <t>Raziya Parween</t>
  </si>
  <si>
    <t>raziya</t>
  </si>
  <si>
    <t>f</t>
  </si>
  <si>
    <t>Danish Alam</t>
  </si>
  <si>
    <t>danish</t>
  </si>
  <si>
    <t>Parvati</t>
  </si>
  <si>
    <t>parvati</t>
  </si>
  <si>
    <t>mgmtl2</t>
  </si>
  <si>
    <t>accl2</t>
  </si>
  <si>
    <t>opsl3</t>
  </si>
  <si>
    <t>opsl2</t>
  </si>
  <si>
    <t>opsl1</t>
  </si>
  <si>
    <t>hrl1</t>
  </si>
  <si>
    <t>fol1</t>
  </si>
  <si>
    <t>user_id (FK)</t>
  </si>
  <si>
    <t>accl1</t>
  </si>
  <si>
    <t>dept_id (FK)</t>
  </si>
  <si>
    <t>level_id (FK)</t>
  </si>
  <si>
    <t>project_id (FK)</t>
  </si>
  <si>
    <t>projects</t>
  </si>
  <si>
    <t>subprojects</t>
  </si>
  <si>
    <t>write</t>
  </si>
  <si>
    <t>read</t>
  </si>
  <si>
    <t>mgmtl1</t>
  </si>
  <si>
    <t>mgmtl3g</t>
  </si>
  <si>
    <t>mgmtl2g</t>
  </si>
  <si>
    <t>mgmtl1g</t>
  </si>
  <si>
    <t>accl2g</t>
  </si>
  <si>
    <t>accl1g</t>
  </si>
  <si>
    <t>opsl3ma</t>
  </si>
  <si>
    <t>opsl3mc</t>
  </si>
  <si>
    <t>opsl2ma</t>
  </si>
  <si>
    <t>opsl2mc</t>
  </si>
  <si>
    <t>opsl2mi</t>
  </si>
  <si>
    <t>opsl2bb</t>
  </si>
  <si>
    <t>opsl2md</t>
  </si>
  <si>
    <t>opsl1ma</t>
  </si>
  <si>
    <t>opsl1mc</t>
  </si>
  <si>
    <t>hrl1g</t>
  </si>
  <si>
    <t>fol1ma</t>
  </si>
  <si>
    <t>fol1mc</t>
  </si>
  <si>
    <t xml:space="preserve">key </t>
  </si>
  <si>
    <t>hsd</t>
  </si>
  <si>
    <t>rbi</t>
  </si>
  <si>
    <t>HSD Tank</t>
  </si>
  <si>
    <t>auto</t>
  </si>
  <si>
    <t>RBI CCTV</t>
  </si>
  <si>
    <t>updates</t>
  </si>
  <si>
    <t>Mast Painting</t>
  </si>
  <si>
    <t>user _roles</t>
  </si>
  <si>
    <t>Earthing Cable</t>
  </si>
  <si>
    <t>mdv</t>
  </si>
  <si>
    <t>Mast Dismantle Visit</t>
  </si>
  <si>
    <t>mpaint</t>
  </si>
  <si>
    <t>mnbr</t>
  </si>
  <si>
    <t>project_id</t>
  </si>
  <si>
    <t>site_id</t>
  </si>
  <si>
    <t>ckt_id</t>
  </si>
  <si>
    <t>amount</t>
  </si>
  <si>
    <t>fe_id (FK)</t>
  </si>
  <si>
    <t>wip</t>
  </si>
  <si>
    <t>WIP</t>
  </si>
  <si>
    <t xml:space="preserve">customer </t>
  </si>
  <si>
    <t>height</t>
  </si>
  <si>
    <t>address</t>
  </si>
  <si>
    <t>city</t>
  </si>
  <si>
    <t>lc</t>
  </si>
  <si>
    <t>edd</t>
  </si>
  <si>
    <t>version</t>
  </si>
  <si>
    <t>MI001</t>
  </si>
  <si>
    <t>ABC</t>
  </si>
  <si>
    <t>abc xyz</t>
  </si>
  <si>
    <t>xyz</t>
  </si>
  <si>
    <t>MI002</t>
  </si>
  <si>
    <t>ABD</t>
  </si>
  <si>
    <t>abd xyx</t>
  </si>
  <si>
    <t>xyx</t>
  </si>
  <si>
    <t>guy2 0118412</t>
  </si>
  <si>
    <t>guy1 0118620</t>
  </si>
  <si>
    <t>status_id</t>
  </si>
  <si>
    <t>MI003</t>
  </si>
  <si>
    <t>ABE</t>
  </si>
  <si>
    <t>abe xyz</t>
  </si>
  <si>
    <t>guy3 0119762</t>
  </si>
  <si>
    <t>hash</t>
  </si>
  <si>
    <t>field</t>
  </si>
  <si>
    <t>munna</t>
  </si>
  <si>
    <t>fol1mi</t>
  </si>
  <si>
    <t>Munna</t>
  </si>
  <si>
    <t>tickets</t>
  </si>
  <si>
    <t>final_cost</t>
  </si>
  <si>
    <t>dileep</t>
  </si>
  <si>
    <t>Dileep</t>
  </si>
  <si>
    <t>PO001</t>
  </si>
  <si>
    <t>PO003</t>
  </si>
  <si>
    <t>IN001</t>
  </si>
  <si>
    <t>list_view</t>
  </si>
  <si>
    <t>invoice_status_id (FK)</t>
  </si>
  <si>
    <t>po_status_id (FK)</t>
  </si>
  <si>
    <t>ticket_number</t>
  </si>
  <si>
    <t>update</t>
  </si>
  <si>
    <t>site_id (FK)</t>
  </si>
  <si>
    <t>MD001</t>
  </si>
  <si>
    <t>MD002</t>
  </si>
  <si>
    <t>MD003</t>
  </si>
  <si>
    <t>Dismantle</t>
  </si>
  <si>
    <t>wcc_status_id (FK)</t>
  </si>
  <si>
    <t>wcc_status_id</t>
  </si>
  <si>
    <t>billing</t>
  </si>
  <si>
    <t>subproject</t>
  </si>
  <si>
    <t>arr</t>
  </si>
  <si>
    <t>Lightning Arrester</t>
  </si>
  <si>
    <t>fsr_status_id</t>
  </si>
  <si>
    <t>report_status_id</t>
  </si>
  <si>
    <t>fol1md</t>
  </si>
  <si>
    <t>BB001</t>
  </si>
  <si>
    <t>BB002</t>
  </si>
  <si>
    <t>BB003</t>
  </si>
  <si>
    <t>GTPL</t>
  </si>
  <si>
    <t>Railwire</t>
  </si>
  <si>
    <t>Airtel</t>
  </si>
  <si>
    <t>abc</t>
  </si>
  <si>
    <t>def</t>
  </si>
  <si>
    <t>ghi</t>
  </si>
  <si>
    <t>exp</t>
  </si>
  <si>
    <t>Expired</t>
  </si>
  <si>
    <t>rej</t>
  </si>
  <si>
    <t>shr</t>
  </si>
  <si>
    <t>set</t>
  </si>
  <si>
    <t>rsd</t>
  </si>
  <si>
    <t>validity</t>
  </si>
  <si>
    <t>PO005</t>
  </si>
  <si>
    <t>PO006</t>
  </si>
  <si>
    <t>act</t>
  </si>
  <si>
    <t>Active</t>
  </si>
  <si>
    <t>add/auto</t>
  </si>
  <si>
    <t>tag</t>
  </si>
  <si>
    <t>recharges</t>
  </si>
  <si>
    <t>uom</t>
  </si>
  <si>
    <t>suggest nice colors</t>
  </si>
  <si>
    <t>MC001</t>
  </si>
  <si>
    <t>MC002</t>
  </si>
  <si>
    <t>MC003</t>
  </si>
  <si>
    <t>MA001</t>
  </si>
  <si>
    <t>MA002</t>
  </si>
  <si>
    <t>MA003</t>
  </si>
  <si>
    <t>LOGO</t>
  </si>
  <si>
    <t>Dashboard</t>
  </si>
  <si>
    <t>Projects</t>
  </si>
  <si>
    <t>+</t>
  </si>
  <si>
    <t>Mast installation</t>
  </si>
  <si>
    <t>People</t>
  </si>
  <si>
    <t>Billing</t>
  </si>
  <si>
    <t>sub_id (FK)</t>
  </si>
  <si>
    <t>po_date</t>
  </si>
  <si>
    <t>Billable Surcharge</t>
  </si>
  <si>
    <t>Extra Surcharge</t>
  </si>
  <si>
    <t>Refund</t>
  </si>
  <si>
    <t>Requested</t>
  </si>
  <si>
    <t>Executed</t>
  </si>
  <si>
    <t>invoices</t>
  </si>
  <si>
    <t>po_id (FK)</t>
  </si>
  <si>
    <t>invoice_no</t>
  </si>
  <si>
    <t>po_no</t>
  </si>
  <si>
    <t>provider_id</t>
  </si>
  <si>
    <t>receiving_date</t>
  </si>
  <si>
    <t>state_id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</si>
  <si>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</si>
  <si>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</si>
  <si>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</si>
  <si>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</si>
  <si>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</si>
  <si>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</si>
  <si>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</si>
  <si>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</si>
  <si>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</si>
  <si>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</si>
  <si>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</si>
  <si>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</si>
  <si>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</si>
  <si>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</si>
  <si>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</si>
  <si>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</si>
  <si>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</si>
  <si>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</si>
  <si>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</si>
  <si>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</si>
  <si>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</si>
  <si>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</si>
  <si>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</si>
  <si>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</si>
  <si>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</si>
  <si>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</si>
  <si>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</si>
  <si>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</si>
  <si>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</si>
  <si>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</si>
  <si>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</si>
  <si>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Jammu and Kashmir</t>
  </si>
  <si>
    <t>Ladakh</t>
  </si>
  <si>
    <t>Lakshadweep</t>
  </si>
  <si>
    <t>Delhi</t>
  </si>
  <si>
    <t>Puducherry</t>
  </si>
  <si>
    <t>ticket_date</t>
  </si>
  <si>
    <t>closing_date</t>
  </si>
  <si>
    <t>Fibre Break</t>
  </si>
  <si>
    <t>bucket</t>
  </si>
  <si>
    <t>pos</t>
  </si>
  <si>
    <t>indian_states</t>
  </si>
  <si>
    <t>status_id (FK)</t>
  </si>
  <si>
    <t>completion_date</t>
  </si>
  <si>
    <t>permission_date</t>
  </si>
  <si>
    <t>execution_date</t>
  </si>
  <si>
    <t>Receiving Date</t>
  </si>
  <si>
    <t>Circuit ID</t>
  </si>
  <si>
    <t>Customer</t>
  </si>
  <si>
    <t>Height (mtr)</t>
  </si>
  <si>
    <t>Address</t>
  </si>
  <si>
    <t>City</t>
  </si>
  <si>
    <t>LC</t>
  </si>
  <si>
    <t>Permission Date</t>
  </si>
  <si>
    <t>EDD</t>
  </si>
  <si>
    <t>Status</t>
  </si>
  <si>
    <t>Update</t>
  </si>
  <si>
    <t>Completion Date</t>
  </si>
  <si>
    <t>WCC</t>
  </si>
  <si>
    <t>FE</t>
  </si>
  <si>
    <t>Budget</t>
  </si>
  <si>
    <t>Cost</t>
  </si>
  <si>
    <t>Paid</t>
  </si>
  <si>
    <t>Balance</t>
  </si>
  <si>
    <t>PO Number</t>
  </si>
  <si>
    <t>PO Status</t>
  </si>
  <si>
    <t>Invoice Number</t>
  </si>
  <si>
    <t>Invoice Status</t>
  </si>
  <si>
    <t>visit_date</t>
  </si>
  <si>
    <t>dismantle_date</t>
  </si>
  <si>
    <t>State</t>
  </si>
  <si>
    <t>Visit Date</t>
  </si>
  <si>
    <t>Outcome</t>
  </si>
  <si>
    <t>Recharge</t>
  </si>
  <si>
    <t>Salary</t>
  </si>
  <si>
    <t>ticket_time</t>
  </si>
  <si>
    <t>closing_time</t>
  </si>
  <si>
    <t>Dismantle Date</t>
  </si>
  <si>
    <t>Tx Copy / WCC</t>
  </si>
  <si>
    <t>permission _date</t>
  </si>
  <si>
    <t>audit_date</t>
  </si>
  <si>
    <t>Audit Date</t>
  </si>
  <si>
    <t>FSR Status</t>
  </si>
  <si>
    <t>Report Status</t>
  </si>
  <si>
    <t>Painting</t>
  </si>
  <si>
    <t>Nut-Bolt Replacement</t>
  </si>
  <si>
    <t>Lightning Arrestor</t>
  </si>
  <si>
    <t>Earthing Cable (mtr)</t>
  </si>
  <si>
    <t>cm_date</t>
  </si>
  <si>
    <t>CM Date</t>
  </si>
  <si>
    <t>WCC Status</t>
  </si>
  <si>
    <t>terminations</t>
  </si>
  <si>
    <t>Date</t>
  </si>
  <si>
    <t>Last Recharge Date</t>
  </si>
  <si>
    <t>Next Recharge Date</t>
  </si>
  <si>
    <t>Active PO Number</t>
  </si>
  <si>
    <t>Next Invoice Date</t>
  </si>
  <si>
    <t>fsr</t>
  </si>
  <si>
    <t>recepient_id (FK)</t>
  </si>
  <si>
    <t>transactions</t>
  </si>
  <si>
    <t>transaction</t>
  </si>
  <si>
    <t>role</t>
  </si>
  <si>
    <t>rate</t>
  </si>
  <si>
    <t>permission_tags</t>
  </si>
  <si>
    <t>recurring</t>
  </si>
  <si>
    <t>remarks</t>
  </si>
  <si>
    <t>job_id (FK)</t>
  </si>
  <si>
    <t>CTC</t>
  </si>
  <si>
    <t>xxx</t>
  </si>
  <si>
    <t>need</t>
  </si>
  <si>
    <t>change password</t>
  </si>
  <si>
    <t>button</t>
  </si>
  <si>
    <t>badge_transitions</t>
  </si>
  <si>
    <t>from_key</t>
  </si>
  <si>
    <t>to_key</t>
  </si>
  <si>
    <t>sign</t>
  </si>
  <si>
    <t>stage</t>
  </si>
  <si>
    <t>p_wait</t>
  </si>
  <si>
    <t>a_wait</t>
  </si>
  <si>
    <t>p_iss</t>
  </si>
  <si>
    <t>FE Payment</t>
  </si>
  <si>
    <t>Other</t>
  </si>
  <si>
    <t>report</t>
  </si>
  <si>
    <t>type_id (FK)</t>
  </si>
  <si>
    <t>transition_types</t>
  </si>
  <si>
    <t>project_id = 1,2,3,4; subproject_id = 1: add one row per site</t>
  </si>
  <si>
    <t>project_id = 1,2,3,4; subproject_id &gt; 1: add one row per subproject, site_id = null</t>
  </si>
  <si>
    <t>project_id = 5: add one row per site per if no active po found for that site</t>
  </si>
  <si>
    <t>project_id = 1,2,3,4; subproject_id = 1: add one row per site after status = completed</t>
  </si>
  <si>
    <t>project_id = 1,2,3,4; subproject_id &gt; 1: add one row per subproject, after all sites closed</t>
  </si>
  <si>
    <t>project_id = 5: add one row per site if no active po found for that site</t>
  </si>
  <si>
    <t>to render on sidebar</t>
  </si>
  <si>
    <t>to render bulk add button</t>
  </si>
  <si>
    <t>fe_pay</t>
  </si>
  <si>
    <t>b_sur</t>
  </si>
  <si>
    <t>e_sur</t>
  </si>
  <si>
    <t>ref</t>
  </si>
  <si>
    <t>sal</t>
  </si>
  <si>
    <t>oth</t>
  </si>
  <si>
    <t>req</t>
  </si>
  <si>
    <t>exct</t>
  </si>
  <si>
    <t>mandatory via popup in ui when changing status to executed (id 39)</t>
  </si>
  <si>
    <t>pp_id (FK)</t>
  </si>
  <si>
    <t>project_
id (FK)</t>
  </si>
  <si>
    <t>Transactions (n)</t>
  </si>
  <si>
    <t>Copyright © 2026 Wahid Akhtar. All rights reserved.</t>
  </si>
  <si>
    <t>followup_date</t>
  </si>
  <si>
    <t>type_key</t>
  </si>
  <si>
    <t>add site form: Receiving Date*, Circuit ID*, Customer, Address, City, Height (mtr). Default status = p_wait</t>
  </si>
  <si>
    <t>permission date entered -&gt; status = wip</t>
  </si>
  <si>
    <t>status = hold, cancel -&gt; clear permission date</t>
  </si>
  <si>
    <t>completion date cleared -&gt; status = p_wait; permission date, edd, wcc status id clear</t>
  </si>
  <si>
    <t>completion date entered -&gt; status = comp, lock all fields except completion date, wcc status id</t>
  </si>
  <si>
    <t>only one active fe per site at a time</t>
  </si>
  <si>
    <t>fe assign dropdown should fetch from user roles</t>
  </si>
  <si>
    <t>request button against each row in fe history table to send payment/other requests to acc</t>
  </si>
  <si>
    <t>add subproject form: Receiving Date* on top; columns: Circuit ID*, Customer, Address, City, Height (mtr). Default status = stage</t>
  </si>
  <si>
    <t>scrap_value</t>
  </si>
  <si>
    <t>add site form: Receiving Date*, Circuit ID*, Customer, Address, City, LC. Default status = down</t>
  </si>
  <si>
    <t>terminate button against each site: popup ask termination date in ui, status -&gt; terminated</t>
  </si>
  <si>
    <t>ticket added: staus -&gt; down</t>
  </si>
  <si>
    <t>ticket closed: staus -&gt; live</t>
  </si>
  <si>
    <t>add subproject form: Receiving Date* on top; columns: Circuit ID*, Customer, Address, City, Height (mtr), LC, Audit Date, Painting, Nut-Bolt Replacement, Lightning Arrestor, Earthpit, Earthing Cable (mtr). Default status = stage</t>
  </si>
  <si>
    <t>add site form: Receiving Date*, Circuit ID*, Customer, Address, City, Height (mtr), LC, Audit Date, Painting, Nut-Bolt Replacement, Lightning Arrestor, Earthpit, Earthing Cable (mtr). Default status = p_wait</t>
  </si>
  <si>
    <t>audit date entered -&gt; status = comp, lock all fields except audit date, fsr status id, report status id</t>
  </si>
  <si>
    <t>audit date cleared -&gt; status = p_wait; clear permission date, fst status id, report status id</t>
  </si>
  <si>
    <t>job_
key</t>
  </si>
  <si>
    <t>nbr</t>
  </si>
  <si>
    <t>render on sidebar if bucket = f, active = t</t>
  </si>
  <si>
    <t>status_
id (FK)</t>
  </si>
  <si>
    <t>Active Invoice Number</t>
  </si>
  <si>
    <t>Active Invoice Status</t>
  </si>
  <si>
    <t>period_from</t>
  </si>
  <si>
    <t>period_to</t>
  </si>
  <si>
    <t>job_bucket_id (FK)</t>
  </si>
  <si>
    <t>bmi</t>
  </si>
  <si>
    <t>bma</t>
  </si>
  <si>
    <t>bmc</t>
  </si>
  <si>
    <t>bmdv</t>
  </si>
  <si>
    <t>bmd</t>
  </si>
  <si>
    <t>user NAME                            Logout</t>
  </si>
  <si>
    <t>text</t>
  </si>
  <si>
    <t>badge</t>
  </si>
  <si>
    <t>yymmddhhmmckt_id</t>
  </si>
  <si>
    <t>punch_points</t>
  </si>
  <si>
    <t>bucket cost is simply the sum over all fe cost for that bucket</t>
  </si>
  <si>
    <t>site cost is sum over all buckets</t>
  </si>
  <si>
    <t>bucket budget is calculated using rate card and site particulars. for first fe assigned to a job bucket, the cost is bucket budget + sum_executed surcharges. if reassignment happens, popup in ui for final_cost for removed fe, new fe cost for that bucket = bucket budget + sum_executed surcharges - sum_inactive final_cost.</t>
  </si>
  <si>
    <t>balance is zero unless site is completed of fe removed</t>
  </si>
  <si>
    <t>job_buckets</t>
  </si>
  <si>
    <t>jmi</t>
  </si>
  <si>
    <t>jma</t>
  </si>
  <si>
    <t>jmdv</t>
  </si>
  <si>
    <t>jmd</t>
  </si>
  <si>
    <t>jnbr</t>
  </si>
  <si>
    <t>jep</t>
  </si>
  <si>
    <t>jec</t>
  </si>
  <si>
    <t>jpaint</t>
  </si>
  <si>
    <t>jarr</t>
  </si>
  <si>
    <t>bucket_key</t>
  </si>
  <si>
    <t>int</t>
  </si>
  <si>
    <t>inr</t>
  </si>
  <si>
    <t>outcome
_id (FK)</t>
  </si>
  <si>
    <t>outcomes</t>
  </si>
  <si>
    <t>label</t>
  </si>
  <si>
    <t>Asset Tx</t>
  </si>
  <si>
    <t>from_id (FK)</t>
  </si>
  <si>
    <t>to_id (FK)</t>
  </si>
  <si>
    <t>doc_status
_id (FK)</t>
  </si>
  <si>
    <t>dismantle date entered or outcome = Asset Tx -&gt; status = comp, lock all fields doc status id</t>
  </si>
  <si>
    <t>dismantle date cleared -&gt; status = p_wait; permission date, edd, wcc status id clear</t>
  </si>
  <si>
    <t>block dismantle date entry unless outcome = dismantle</t>
  </si>
  <si>
    <t>block outcome unless visit date entered, after visit date entry, popup for outcome*</t>
  </si>
  <si>
    <t>int/text</t>
  </si>
  <si>
    <t>global</t>
  </si>
  <si>
    <t>scope</t>
  </si>
  <si>
    <t>bucket_id (FK)</t>
  </si>
  <si>
    <t>ticket time, closing time mandatory only for bb, other projects only need dates</t>
  </si>
  <si>
    <t>when adding ticket to a project, allow to choose from avl list of pp or add new.</t>
  </si>
  <si>
    <t>"Proceed with CM" button on each site detail page if status = comp; when clicked, copy the site to schema_mc.site with status = a_wait, receiving date = audit date</t>
  </si>
  <si>
    <t>deactivate button after 1 use (site transferred to cm)</t>
  </si>
  <si>
    <t>block permission date unless status = p_wait</t>
  </si>
  <si>
    <t>Required / int or Not Required</t>
  </si>
  <si>
    <t>edd = permission date +15 if height &lt;= 15, +21 otherwise</t>
  </si>
  <si>
    <t>block completion date unless status = wip, height not null</t>
  </si>
  <si>
    <t>bolck fe assignment if height is null</t>
  </si>
  <si>
    <t>only 1, 2, 3, 4 allowed</t>
  </si>
  <si>
    <t>ABC123</t>
  </si>
  <si>
    <t>Invoice</t>
  </si>
  <si>
    <t xml:space="preserve">PO </t>
  </si>
  <si>
    <t>Report</t>
  </si>
  <si>
    <t>.</t>
  </si>
  <si>
    <t>Amount</t>
  </si>
  <si>
    <t>Request Date</t>
  </si>
  <si>
    <t>Execution Date</t>
  </si>
  <si>
    <t>Type</t>
  </si>
  <si>
    <t>Job</t>
  </si>
  <si>
    <t>PO00123</t>
  </si>
  <si>
    <t>IN001234</t>
  </si>
  <si>
    <t>Request</t>
  </si>
  <si>
    <t>Visit</t>
  </si>
  <si>
    <t>Inactive</t>
  </si>
  <si>
    <t>Sandeep</t>
  </si>
  <si>
    <t>Assign</t>
  </si>
  <si>
    <t>auto for active, manual via popup for inactive</t>
  </si>
  <si>
    <t>non null only if site completed or fe inactive</t>
  </si>
  <si>
    <t>enforce correct colors fom docx/badge table</t>
  </si>
  <si>
    <t>Follow-up Date</t>
  </si>
  <si>
    <t>Closing Time</t>
  </si>
  <si>
    <t>Closing Date</t>
  </si>
  <si>
    <t>Punch Point</t>
  </si>
  <si>
    <t>Ticket Time</t>
  </si>
  <si>
    <t>Ticket Date</t>
  </si>
  <si>
    <t>Ticket Number</t>
  </si>
  <si>
    <t>blocks should be dynamically rendered/sized and independently scrollable</t>
  </si>
  <si>
    <t>Ticketss (n)</t>
  </si>
  <si>
    <t xml:space="preserve">PO        </t>
  </si>
  <si>
    <t>ops, fo can change req -&gt; cancel</t>
  </si>
  <si>
    <t>only ops should have write access on this page. acc writes like po/invoice number, transactions should happen fron their repective pages</t>
  </si>
  <si>
    <t>request_date</t>
  </si>
  <si>
    <t>searchbar (Circuit ID)</t>
  </si>
  <si>
    <t>Page</t>
  </si>
  <si>
    <t>…</t>
  </si>
  <si>
    <t>open when a project or subproject clicked from sidebar</t>
  </si>
  <si>
    <t>each row should be a giant clickable button to detail page</t>
  </si>
  <si>
    <t>filter by status using clickable badges on top, multiple allowed; include stage badge in case of subproject</t>
  </si>
  <si>
    <t>sort priority: 1 rect/down, 2 open, 3 stage, 4 closed</t>
  </si>
  <si>
    <t>open means status != comp/cancel, sort by ascending receiving date</t>
  </si>
  <si>
    <t>sort rect/down by ascending ticket date</t>
  </si>
  <si>
    <t>sort stage by indian state</t>
  </si>
  <si>
    <t>closed means status = comp/cancel, sort by descending receiving date</t>
  </si>
  <si>
    <t>pp can be added at anytime after(/at) ticket creation, must be filled before closing</t>
  </si>
  <si>
    <t>also a button to remove FE. popup on click</t>
  </si>
  <si>
    <t xml:space="preserve">Add Ticket </t>
  </si>
  <si>
    <t xml:space="preserve">Add Update </t>
  </si>
  <si>
    <t xml:space="preserve">Close Ticket </t>
  </si>
  <si>
    <t>abcd</t>
  </si>
  <si>
    <t>include small icons before sidebar item name</t>
  </si>
  <si>
    <t>style bulk add, normal add buttons; + symbols are not necessary</t>
  </si>
  <si>
    <t>in case of + +, left one is for add subproject</t>
  </si>
  <si>
    <t>mmmm yyyy</t>
  </si>
  <si>
    <t>mmmm yyyyy</t>
  </si>
  <si>
    <t>add if no open ticket, close if a ticket is open</t>
  </si>
  <si>
    <t>Submit</t>
  </si>
  <si>
    <t>dropdown</t>
  </si>
  <si>
    <t>or</t>
  </si>
  <si>
    <t>Time</t>
  </si>
  <si>
    <t>bucket dropdown</t>
  </si>
  <si>
    <t>FO user dropdown</t>
  </si>
  <si>
    <t>fade if one fe active</t>
  </si>
  <si>
    <t>broadband</t>
  </si>
  <si>
    <t>others</t>
  </si>
  <si>
    <t>amount &lt;= cost - paid</t>
  </si>
  <si>
    <t>RFO</t>
  </si>
  <si>
    <t>broadband version</t>
  </si>
  <si>
    <t>Mast Tilted                        (dropdown)</t>
  </si>
  <si>
    <t>Fibre Break   (dropdown)</t>
  </si>
  <si>
    <t>sort by date + time descending</t>
  </si>
  <si>
    <t>visually same but date/time = ticket date/time if add ticket</t>
  </si>
  <si>
    <t>visually same but date/time = closing date/time if close ticket</t>
  </si>
  <si>
    <t>one-off</t>
  </si>
  <si>
    <t>Project</t>
  </si>
  <si>
    <t>pending</t>
  </si>
  <si>
    <t>entity? Id</t>
  </si>
  <si>
    <t>Submission Date</t>
  </si>
  <si>
    <t>submission_date</t>
  </si>
  <si>
    <t>settlement_date</t>
  </si>
  <si>
    <t>Settlement Date</t>
  </si>
  <si>
    <t>sub</t>
  </si>
  <si>
    <t>subproject name</t>
  </si>
  <si>
    <t>Nmae</t>
  </si>
  <si>
    <t>Depertment</t>
  </si>
  <si>
    <t>Sonal</t>
  </si>
  <si>
    <t>Access</t>
  </si>
  <si>
    <t>Vaishali</t>
  </si>
  <si>
    <t>Global</t>
  </si>
  <si>
    <t>Level1</t>
  </si>
  <si>
    <t>Remove</t>
  </si>
  <si>
    <t>Assign Role</t>
  </si>
  <si>
    <t>change Credentials</t>
  </si>
  <si>
    <t>Username</t>
  </si>
  <si>
    <t>Adhaar</t>
  </si>
  <si>
    <t>UPI</t>
  </si>
  <si>
    <t>abc@123</t>
  </si>
  <si>
    <t>Deactivate</t>
  </si>
  <si>
    <t>dept dropdown</t>
  </si>
  <si>
    <t>project dropdown</t>
  </si>
  <si>
    <t>level dropdown</t>
  </si>
  <si>
    <t>allow project dropdown only if dept = ops/fo selected, otherwise default to global</t>
  </si>
  <si>
    <t>or activate</t>
  </si>
  <si>
    <t>Raziya</t>
  </si>
  <si>
    <t>Level 2</t>
  </si>
  <si>
    <t>inactive users faded and on bottom</t>
  </si>
  <si>
    <t>ui_fields</t>
  </si>
  <si>
    <t>assignment</t>
  </si>
  <si>
    <t>subcon_id (FK)</t>
  </si>
  <si>
    <t>subcons</t>
  </si>
  <si>
    <t>subcon_projects</t>
  </si>
  <si>
    <t>subcon_types</t>
  </si>
  <si>
    <t>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</si>
</sst>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&quot;₹&quot;#,##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b/>
      <sz val="24"/>
      <color theme="1"/>
      <name val="Times New Roman"/>
      <family val="1"/>
    </font>
    <font>
      <sz val="12"/>
      <color rgb="FF0A0A0A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 tint="-0.49998474074526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2" fillId="0" borderId="1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left" vertical="center"/>
    </xf>
    <xf numFmtId="0" fontId="1" fillId="6" borderId="34" xfId="0" applyFont="1" applyFill="1" applyBorder="1" applyAlignment="1">
      <alignment horizontal="left" vertical="center"/>
    </xf>
    <xf numFmtId="0" fontId="1" fillId="6" borderId="22" xfId="0" applyFont="1" applyFill="1" applyBorder="1" applyAlignment="1">
      <alignment horizontal="left" vertical="center"/>
    </xf>
    <xf numFmtId="0" fontId="1" fillId="6" borderId="37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left" vertical="center"/>
    </xf>
    <xf numFmtId="0" fontId="1" fillId="6" borderId="40" xfId="0" applyFont="1" applyFill="1" applyBorder="1" applyAlignment="1">
      <alignment horizontal="left" vertical="center"/>
    </xf>
    <xf numFmtId="0" fontId="1" fillId="6" borderId="41" xfId="0" applyFont="1" applyFill="1" applyBorder="1" applyAlignment="1">
      <alignment horizontal="left" vertical="center"/>
    </xf>
    <xf numFmtId="0" fontId="1" fillId="6" borderId="38" xfId="0" applyFont="1" applyFill="1" applyBorder="1" applyAlignment="1">
      <alignment horizontal="left" vertical="center"/>
    </xf>
    <xf numFmtId="0" fontId="1" fillId="6" borderId="43" xfId="0" applyFont="1" applyFill="1" applyBorder="1" applyAlignment="1">
      <alignment horizontal="left" vertical="center"/>
    </xf>
    <xf numFmtId="0" fontId="1" fillId="6" borderId="36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vertical="center"/>
    </xf>
    <xf numFmtId="0" fontId="1" fillId="6" borderId="39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2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43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2" fillId="6" borderId="37" xfId="0" applyFont="1" applyFill="1" applyBorder="1" applyAlignment="1">
      <alignment horizontal="left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39" xfId="0" applyFont="1" applyFill="1" applyBorder="1" applyAlignment="1">
      <alignment horizontal="left" vertical="center"/>
    </xf>
    <xf numFmtId="0" fontId="2" fillId="6" borderId="41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1" fillId="6" borderId="11" xfId="0" applyFont="1" applyFill="1" applyBorder="1" applyAlignment="1">
      <alignment horizontal="left" vertical="center"/>
    </xf>
    <xf numFmtId="14" fontId="2" fillId="6" borderId="1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29" xfId="0" applyFont="1" applyFill="1" applyBorder="1" applyAlignment="1">
      <alignment horizontal="left" vertical="center"/>
    </xf>
    <xf numFmtId="14" fontId="2" fillId="6" borderId="27" xfId="0" applyNumberFormat="1" applyFont="1" applyFill="1" applyBorder="1" applyAlignment="1">
      <alignment horizontal="left" vertical="center"/>
    </xf>
    <xf numFmtId="0" fontId="1" fillId="6" borderId="32" xfId="0" applyFont="1" applyFill="1" applyBorder="1" applyAlignment="1">
      <alignment horizontal="left" vertical="center"/>
    </xf>
    <xf numFmtId="0" fontId="2" fillId="6" borderId="38" xfId="0" applyFont="1" applyFill="1" applyBorder="1" applyAlignment="1">
      <alignment horizontal="left" vertical="center"/>
    </xf>
    <xf numFmtId="0" fontId="1" fillId="7" borderId="40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1" fillId="9" borderId="43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0" fontId="1" fillId="6" borderId="27" xfId="0" applyFont="1" applyFill="1" applyBorder="1" applyAlignment="1">
      <alignment horizontal="left" vertical="center"/>
    </xf>
    <xf numFmtId="0" fontId="1" fillId="6" borderId="31" xfId="0" applyFont="1" applyFill="1" applyBorder="1" applyAlignment="1">
      <alignment horizontal="left" vertical="center"/>
    </xf>
    <xf numFmtId="14" fontId="2" fillId="6" borderId="32" xfId="0" applyNumberFormat="1" applyFont="1" applyFill="1" applyBorder="1" applyAlignment="1">
      <alignment horizontal="left" vertical="center"/>
    </xf>
    <xf numFmtId="14" fontId="2" fillId="6" borderId="33" xfId="0" applyNumberFormat="1" applyFont="1" applyFill="1" applyBorder="1" applyAlignment="1">
      <alignment horizontal="left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28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2" fillId="6" borderId="48" xfId="0" applyFont="1" applyFill="1" applyBorder="1" applyAlignment="1">
      <alignment horizontal="left" vertical="center" wrapText="1"/>
    </xf>
    <xf numFmtId="14" fontId="8" fillId="3" borderId="30" xfId="0" applyNumberFormat="1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left" vertical="center"/>
    </xf>
    <xf numFmtId="0" fontId="1" fillId="6" borderId="52" xfId="0" applyFont="1" applyFill="1" applyBorder="1" applyAlignment="1">
      <alignment horizontal="left" vertical="center"/>
    </xf>
    <xf numFmtId="0" fontId="1" fillId="6" borderId="33" xfId="0" applyFont="1" applyFill="1" applyBorder="1" applyAlignment="1">
      <alignment horizontal="left" vertical="center"/>
    </xf>
    <xf numFmtId="0" fontId="1" fillId="6" borderId="45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14" fontId="1" fillId="6" borderId="43" xfId="0" applyNumberFormat="1" applyFont="1" applyFill="1" applyBorder="1" applyAlignment="1">
      <alignment horizontal="center" vertical="center"/>
    </xf>
    <xf numFmtId="0" fontId="0" fillId="6" borderId="0" xfId="0" applyFill="1"/>
    <xf numFmtId="0" fontId="3" fillId="6" borderId="36" xfId="0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0" fontId="9" fillId="6" borderId="40" xfId="0" applyFont="1" applyFill="1" applyBorder="1" applyAlignment="1">
      <alignment horizontal="center"/>
    </xf>
    <xf numFmtId="0" fontId="9" fillId="6" borderId="41" xfId="0" applyFont="1" applyFill="1" applyBorder="1" applyAlignment="1">
      <alignment horizontal="center"/>
    </xf>
    <xf numFmtId="0" fontId="3" fillId="6" borderId="42" xfId="0" applyFont="1" applyFill="1" applyBorder="1" applyAlignment="1">
      <alignment horizontal="center"/>
    </xf>
    <xf numFmtId="0" fontId="9" fillId="6" borderId="43" xfId="0" applyFont="1" applyFill="1" applyBorder="1" applyAlignment="1">
      <alignment horizontal="center"/>
    </xf>
    <xf numFmtId="0" fontId="0" fillId="6" borderId="20" xfId="0" applyFill="1" applyBorder="1"/>
    <xf numFmtId="0" fontId="0" fillId="6" borderId="21" xfId="0" applyFill="1" applyBorder="1"/>
    <xf numFmtId="0" fontId="0" fillId="6" borderId="35" xfId="0" applyFill="1" applyBorder="1"/>
    <xf numFmtId="0" fontId="0" fillId="6" borderId="23" xfId="0" applyFill="1" applyBorder="1"/>
    <xf numFmtId="0" fontId="0" fillId="6" borderId="24" xfId="0" applyFill="1" applyBorder="1"/>
    <xf numFmtId="0" fontId="0" fillId="0" borderId="34" xfId="0" applyBorder="1"/>
    <xf numFmtId="14" fontId="2" fillId="6" borderId="43" xfId="0" applyNumberFormat="1" applyFont="1" applyFill="1" applyBorder="1" applyAlignment="1">
      <alignment horizontal="center" vertical="center"/>
    </xf>
    <xf numFmtId="20" fontId="2" fillId="6" borderId="43" xfId="0" applyNumberFormat="1" applyFont="1" applyFill="1" applyBorder="1" applyAlignment="1">
      <alignment horizontal="center" vertical="center"/>
    </xf>
    <xf numFmtId="0" fontId="0" fillId="6" borderId="42" xfId="0" applyFill="1" applyBorder="1" applyAlignment="1">
      <alignment horizontal="center"/>
    </xf>
    <xf numFmtId="0" fontId="2" fillId="6" borderId="37" xfId="0" applyFont="1" applyFill="1" applyBorder="1" applyAlignment="1">
      <alignment horizontal="center" vertical="center"/>
    </xf>
    <xf numFmtId="0" fontId="0" fillId="6" borderId="45" xfId="0" applyFill="1" applyBorder="1" applyAlignment="1">
      <alignment vertical="center"/>
    </xf>
    <xf numFmtId="0" fontId="0" fillId="6" borderId="46" xfId="0" applyFill="1" applyBorder="1" applyAlignment="1">
      <alignment vertical="center"/>
    </xf>
    <xf numFmtId="0" fontId="0" fillId="6" borderId="47" xfId="0" applyFill="1" applyBorder="1" applyAlignment="1">
      <alignment vertical="center"/>
    </xf>
    <xf numFmtId="0" fontId="2" fillId="6" borderId="44" xfId="0" applyFont="1" applyFill="1" applyBorder="1" applyAlignment="1">
      <alignment vertical="center"/>
    </xf>
    <xf numFmtId="0" fontId="2" fillId="6" borderId="53" xfId="0" applyFont="1" applyFill="1" applyBorder="1" applyAlignment="1">
      <alignment horizontal="right" vertical="center"/>
    </xf>
    <xf numFmtId="0" fontId="2" fillId="6" borderId="54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28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left" vertical="center"/>
    </xf>
    <xf numFmtId="0" fontId="1" fillId="6" borderId="42" xfId="0" applyFont="1" applyFill="1" applyBorder="1" applyAlignment="1">
      <alignment horizontal="left" vertical="center"/>
    </xf>
    <xf numFmtId="0" fontId="1" fillId="6" borderId="40" xfId="0" applyFont="1" applyFill="1" applyBorder="1" applyAlignment="1">
      <alignment horizontal="left" vertical="center"/>
    </xf>
    <xf numFmtId="0" fontId="1" fillId="6" borderId="43" xfId="0" applyFont="1" applyFill="1" applyBorder="1" applyAlignment="1">
      <alignment horizontal="left" vertical="center"/>
    </xf>
    <xf numFmtId="0" fontId="1" fillId="6" borderId="38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36" xfId="0" applyFont="1" applyFill="1" applyBorder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left" vertical="center"/>
    </xf>
    <xf numFmtId="0" fontId="2" fillId="6" borderId="43" xfId="0" applyFont="1" applyFill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14" fontId="8" fillId="3" borderId="16" xfId="0" applyNumberFormat="1" applyFont="1" applyFill="1" applyBorder="1" applyAlignment="1">
      <alignment horizontal="center" vertical="center"/>
    </xf>
    <xf numFmtId="14" fontId="8" fillId="3" borderId="17" xfId="0" applyNumberFormat="1" applyFont="1" applyFill="1" applyBorder="1" applyAlignment="1">
      <alignment horizontal="center" vertical="center"/>
    </xf>
    <xf numFmtId="14" fontId="8" fillId="3" borderId="1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" fontId="2" fillId="6" borderId="52" xfId="0" applyNumberFormat="1" applyFont="1" applyFill="1" applyBorder="1" applyAlignment="1">
      <alignment horizontal="left" vertical="center"/>
    </xf>
    <xf numFmtId="16" fontId="2" fillId="6" borderId="32" xfId="0" applyNumberFormat="1" applyFont="1" applyFill="1" applyBorder="1" applyAlignment="1">
      <alignment horizontal="left" vertical="center"/>
    </xf>
    <xf numFmtId="16" fontId="2" fillId="6" borderId="51" xfId="0" applyNumberFormat="1" applyFont="1" applyFill="1" applyBorder="1" applyAlignment="1">
      <alignment horizontal="left" vertical="center"/>
    </xf>
    <xf numFmtId="0" fontId="1" fillId="6" borderId="29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left" vertical="center"/>
    </xf>
    <xf numFmtId="14" fontId="2" fillId="6" borderId="11" xfId="0" applyNumberFormat="1" applyFont="1" applyFill="1" applyBorder="1" applyAlignment="1">
      <alignment horizontal="left" vertical="center"/>
    </xf>
    <xf numFmtId="14" fontId="2" fillId="6" borderId="27" xfId="0" applyNumberFormat="1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1" fillId="6" borderId="42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43" xfId="0" applyFont="1" applyFill="1" applyBorder="1" applyAlignment="1">
      <alignment horizontal="left" vertical="center" wrapText="1"/>
    </xf>
    <xf numFmtId="0" fontId="2" fillId="6" borderId="39" xfId="0" applyFont="1" applyFill="1" applyBorder="1" applyAlignment="1">
      <alignment horizontal="left" vertical="center" wrapText="1"/>
    </xf>
    <xf numFmtId="0" fontId="2" fillId="6" borderId="41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6" borderId="1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1" fontId="2" fillId="6" borderId="11" xfId="0" applyNumberFormat="1" applyFont="1" applyFill="1" applyBorder="1" applyAlignment="1">
      <alignment horizontal="left" vertical="center"/>
    </xf>
    <xf numFmtId="1" fontId="2" fillId="6" borderId="27" xfId="0" applyNumberFormat="1" applyFont="1" applyFill="1" applyBorder="1" applyAlignment="1">
      <alignment horizontal="left" vertical="center"/>
    </xf>
    <xf numFmtId="0" fontId="2" fillId="6" borderId="3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left" vertical="center"/>
    </xf>
    <xf numFmtId="0" fontId="1" fillId="6" borderId="25" xfId="0" applyFont="1" applyFill="1" applyBorder="1" applyAlignment="1">
      <alignment horizontal="left" vertical="center"/>
    </xf>
    <xf numFmtId="14" fontId="2" fillId="6" borderId="25" xfId="0" applyNumberFormat="1" applyFont="1" applyFill="1" applyBorder="1" applyAlignment="1">
      <alignment horizontal="left" vertical="center"/>
    </xf>
    <xf numFmtId="14" fontId="2" fillId="6" borderId="2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15009</xdr:colOff>
      <xdr:row>34</xdr:row>
      <xdr:rowOff>105064</xdr:rowOff>
    </xdr:from>
    <xdr:to>
      <xdr:col>17</xdr:col>
      <xdr:colOff>196273</xdr:colOff>
      <xdr:row>35</xdr:row>
      <xdr:rowOff>106218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D4950E61-16EE-5D01-3623-74B21C2D6906}"/>
            </a:ext>
          </a:extLst>
        </xdr:cNvPr>
        <xdr:cNvSpPr/>
      </xdr:nvSpPr>
      <xdr:spPr>
        <a:xfrm>
          <a:off x="12103100" y="7217064"/>
          <a:ext cx="181264" cy="2205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698500</xdr:colOff>
      <xdr:row>1</xdr:row>
      <xdr:rowOff>50800</xdr:rowOff>
    </xdr:from>
    <xdr:to>
      <xdr:col>26</xdr:col>
      <xdr:colOff>800100</xdr:colOff>
      <xdr:row>1</xdr:row>
      <xdr:rowOff>190500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6E28AD40-CAA7-38A1-23ED-C12BCC0131D5}"/>
            </a:ext>
          </a:extLst>
        </xdr:cNvPr>
        <xdr:cNvSpPr/>
      </xdr:nvSpPr>
      <xdr:spPr>
        <a:xfrm>
          <a:off x="20142200" y="266700"/>
          <a:ext cx="1181100" cy="139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15009</xdr:colOff>
      <xdr:row>25</xdr:row>
      <xdr:rowOff>105064</xdr:rowOff>
    </xdr:from>
    <xdr:to>
      <xdr:col>12</xdr:col>
      <xdr:colOff>196273</xdr:colOff>
      <xdr:row>26</xdr:row>
      <xdr:rowOff>106218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1B13FFDA-04DB-7F4A-8C21-4523F2885376}"/>
            </a:ext>
          </a:extLst>
        </xdr:cNvPr>
        <xdr:cNvSpPr/>
      </xdr:nvSpPr>
      <xdr:spPr>
        <a:xfrm>
          <a:off x="12016509" y="7534564"/>
          <a:ext cx="181264" cy="21705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698500</xdr:colOff>
      <xdr:row>5</xdr:row>
      <xdr:rowOff>0</xdr:rowOff>
    </xdr:from>
    <xdr:to>
      <xdr:col>14</xdr:col>
      <xdr:colOff>724408</xdr:colOff>
      <xdr:row>6</xdr:row>
      <xdr:rowOff>25400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D20A59DB-BC88-4C2D-FCF2-C89AD094FC43}"/>
            </a:ext>
          </a:extLst>
        </xdr:cNvPr>
        <xdr:cNvSpPr/>
      </xdr:nvSpPr>
      <xdr:spPr>
        <a:xfrm>
          <a:off x="9372600" y="1079500"/>
          <a:ext cx="1473708" cy="241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749300</xdr:colOff>
      <xdr:row>6</xdr:row>
      <xdr:rowOff>0</xdr:rowOff>
    </xdr:from>
    <xdr:to>
      <xdr:col>33</xdr:col>
      <xdr:colOff>76200</xdr:colOff>
      <xdr:row>6</xdr:row>
      <xdr:rowOff>203200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36BB979-F6D8-7E87-E70F-C7766FD6B916}"/>
            </a:ext>
          </a:extLst>
        </xdr:cNvPr>
        <xdr:cNvSpPr/>
      </xdr:nvSpPr>
      <xdr:spPr>
        <a:xfrm>
          <a:off x="23495000" y="1295400"/>
          <a:ext cx="1219200" cy="203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749300</xdr:colOff>
      <xdr:row>31</xdr:row>
      <xdr:rowOff>12700</xdr:rowOff>
    </xdr:from>
    <xdr:to>
      <xdr:col>33</xdr:col>
      <xdr:colOff>76200</xdr:colOff>
      <xdr:row>32</xdr:row>
      <xdr:rowOff>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960A7329-8AA5-F647-B600-A7BE17AB93BA}"/>
            </a:ext>
          </a:extLst>
        </xdr:cNvPr>
        <xdr:cNvSpPr/>
      </xdr:nvSpPr>
      <xdr:spPr>
        <a:xfrm>
          <a:off x="23495000" y="6540500"/>
          <a:ext cx="1219200" cy="203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3160-090A-AF48-A65B-1F8A45BB72BB}">
  <sheetPr codeName="Sheet1"/>
  <dimension ref="A1:AQ64"/>
  <sheetViews>
    <sheetView zoomScaleNormal="100" workbookViewId="0">
      <pane ySplit="2" topLeftCell="A3" activePane="bottomLeft" state="frozen"/>
      <selection pane="bottomLeft" activeCell="I13" sqref="I13"/>
    </sheetView>
  </sheetViews>
  <sheetFormatPr baseColWidth="10" defaultRowHeight="16" x14ac:dyDescent="0.2"/>
  <cols>
    <col min="1" max="1" width="3.1640625" style="1" bestFit="1" customWidth="1"/>
    <col min="2" max="2" width="9.83203125" style="1" bestFit="1" customWidth="1"/>
    <col min="3" max="3" width="6.5" style="1" bestFit="1" customWidth="1"/>
    <col min="4" max="4" width="17.33203125" style="1" bestFit="1" customWidth="1"/>
    <col min="5" max="5" width="9.6640625" style="1" bestFit="1" customWidth="1"/>
    <col min="6" max="6" width="10.83203125" style="28"/>
    <col min="7" max="7" width="6.83203125" style="28" customWidth="1"/>
    <col min="8" max="8" width="6.1640625" style="28" bestFit="1" customWidth="1"/>
    <col min="9" max="9" width="10.83203125" style="28"/>
    <col min="10" max="10" width="3.1640625" style="28" bestFit="1" customWidth="1"/>
    <col min="11" max="11" width="7.6640625" style="28" bestFit="1" customWidth="1"/>
    <col min="12" max="12" width="7.5" style="28" bestFit="1" customWidth="1"/>
    <col min="13" max="13" width="10.83203125" style="28"/>
    <col min="14" max="14" width="3.1640625" style="28" bestFit="1" customWidth="1"/>
    <col min="15" max="15" width="7.5" style="28" bestFit="1" customWidth="1"/>
    <col min="16" max="16" width="9.5" style="28" bestFit="1" customWidth="1"/>
    <col min="17" max="17" width="7" style="28" bestFit="1" customWidth="1"/>
    <col min="18" max="18" width="9.83203125" style="28" bestFit="1" customWidth="1"/>
    <col min="19" max="19" width="8" style="28" bestFit="1" customWidth="1"/>
    <col min="20" max="20" width="10.83203125" style="28"/>
    <col min="21" max="21" width="3.1640625" style="28" bestFit="1" customWidth="1"/>
    <col min="22" max="22" width="7" style="28" bestFit="1" customWidth="1"/>
    <col min="23" max="23" width="8.33203125" style="28" bestFit="1" customWidth="1"/>
    <col min="24" max="24" width="10.6640625" style="28" bestFit="1" customWidth="1"/>
    <col min="25" max="25" width="5.33203125" style="28" bestFit="1" customWidth="1"/>
    <col min="26" max="26" width="5.83203125" style="28" bestFit="1" customWidth="1"/>
    <col min="27" max="27" width="10.83203125" style="1"/>
    <col min="28" max="28" width="4.33203125" style="1" customWidth="1"/>
    <col min="29" max="29" width="7.1640625" style="1" customWidth="1"/>
    <col min="30" max="30" width="7.83203125" style="1" customWidth="1"/>
    <col min="31" max="31" width="10.83203125" style="1"/>
    <col min="32" max="32" width="2.83203125" style="28" bestFit="1" customWidth="1"/>
    <col min="33" max="33" width="10.83203125" style="28" bestFit="1" customWidth="1"/>
    <col min="34" max="34" width="7" style="28" bestFit="1" customWidth="1"/>
    <col min="35" max="35" width="6.5" style="28" bestFit="1" customWidth="1"/>
    <col min="36" max="36" width="18.83203125" style="28" bestFit="1" customWidth="1"/>
    <col min="37" max="37" width="10.83203125" style="28"/>
    <col min="38" max="38" width="3.1640625" style="24" bestFit="1" customWidth="1"/>
    <col min="39" max="39" width="36.6640625" style="12" customWidth="1"/>
    <col min="40" max="40" width="10.83203125" style="26"/>
    <col min="41" max="41" width="5.1640625" style="26" customWidth="1"/>
    <col min="42" max="42" width="9.6640625" style="26" bestFit="1" customWidth="1"/>
    <col min="43" max="43" width="10.83203125" style="26"/>
    <col min="44" max="44" width="3.33203125" style="28" customWidth="1"/>
    <col min="45" max="45" width="7.83203125" style="28" customWidth="1"/>
    <col min="46" max="46" width="9.33203125" style="28" bestFit="1" customWidth="1"/>
    <col min="47" max="16384" width="10.83203125" style="28"/>
  </cols>
  <sheetData>
    <row r="1" spans="1:42" ht="30" customHeight="1" x14ac:dyDescent="0.2">
      <c r="A1" s="154" t="s">
        <v>93</v>
      </c>
      <c r="B1" s="154"/>
      <c r="C1" s="154"/>
      <c r="D1" s="154"/>
      <c r="E1" s="154"/>
      <c r="G1" s="154" t="s">
        <v>515</v>
      </c>
      <c r="H1" s="154"/>
      <c r="J1" s="153" t="s">
        <v>90</v>
      </c>
      <c r="K1" s="153"/>
      <c r="L1" s="153"/>
      <c r="N1" s="153" t="s">
        <v>182</v>
      </c>
      <c r="O1" s="153"/>
      <c r="P1" s="153"/>
      <c r="Q1" s="153"/>
      <c r="R1" s="153"/>
      <c r="S1" s="153"/>
      <c r="U1" s="153" t="s">
        <v>403</v>
      </c>
      <c r="V1" s="153"/>
      <c r="W1" s="153"/>
      <c r="X1" s="153"/>
      <c r="Y1" s="153"/>
      <c r="Z1" s="153"/>
      <c r="AB1" s="152" t="s">
        <v>489</v>
      </c>
      <c r="AC1" s="152"/>
      <c r="AD1" s="152"/>
      <c r="AF1" s="154" t="s">
        <v>94</v>
      </c>
      <c r="AG1" s="154"/>
      <c r="AH1" s="154"/>
      <c r="AI1" s="154"/>
      <c r="AJ1" s="154"/>
      <c r="AL1" s="154" t="s">
        <v>341</v>
      </c>
      <c r="AM1" s="154"/>
      <c r="AO1" s="154" t="s">
        <v>424</v>
      </c>
      <c r="AP1" s="154"/>
    </row>
    <row r="2" spans="1:42" ht="38" customHeight="1" x14ac:dyDescent="0.2">
      <c r="A2" s="2" t="s">
        <v>73</v>
      </c>
      <c r="B2" s="2" t="s">
        <v>72</v>
      </c>
      <c r="C2" s="2" t="s">
        <v>71</v>
      </c>
      <c r="D2" s="2" t="s">
        <v>504</v>
      </c>
      <c r="E2" s="2" t="s">
        <v>74</v>
      </c>
      <c r="G2" s="14" t="s">
        <v>149</v>
      </c>
      <c r="H2" s="14" t="s">
        <v>514</v>
      </c>
      <c r="J2" s="2" t="s">
        <v>73</v>
      </c>
      <c r="K2" s="2" t="s">
        <v>149</v>
      </c>
      <c r="L2" s="2" t="s">
        <v>150</v>
      </c>
      <c r="N2" s="14" t="s">
        <v>73</v>
      </c>
      <c r="O2" s="2" t="s">
        <v>147</v>
      </c>
      <c r="P2" s="2" t="s">
        <v>96</v>
      </c>
      <c r="Q2" s="2" t="s">
        <v>91</v>
      </c>
      <c r="R2" s="2" t="s">
        <v>151</v>
      </c>
      <c r="S2" s="2" t="s">
        <v>71</v>
      </c>
      <c r="U2" s="14" t="s">
        <v>73</v>
      </c>
      <c r="V2" s="2" t="s">
        <v>91</v>
      </c>
      <c r="W2" s="2" t="s">
        <v>92</v>
      </c>
      <c r="X2" s="2" t="s">
        <v>269</v>
      </c>
      <c r="Y2" s="2" t="s">
        <v>155</v>
      </c>
      <c r="Z2" s="2" t="s">
        <v>154</v>
      </c>
      <c r="AB2" s="2" t="s">
        <v>73</v>
      </c>
      <c r="AC2" s="2" t="s">
        <v>71</v>
      </c>
      <c r="AD2" s="2" t="s">
        <v>151</v>
      </c>
      <c r="AF2" s="2" t="s">
        <v>73</v>
      </c>
      <c r="AG2" s="2" t="s">
        <v>474</v>
      </c>
      <c r="AH2" s="2" t="s">
        <v>499</v>
      </c>
      <c r="AI2" s="2" t="s">
        <v>466</v>
      </c>
      <c r="AJ2" s="2" t="s">
        <v>504</v>
      </c>
      <c r="AL2" s="2" t="s">
        <v>73</v>
      </c>
      <c r="AM2" s="2" t="s">
        <v>504</v>
      </c>
      <c r="AO2" s="2" t="s">
        <v>73</v>
      </c>
      <c r="AP2" s="2" t="s">
        <v>71</v>
      </c>
    </row>
    <row r="3" spans="1:42" s="30" customFormat="1" ht="17" x14ac:dyDescent="0.2">
      <c r="A3" s="27">
        <v>1</v>
      </c>
      <c r="B3" s="4" t="s">
        <v>18</v>
      </c>
      <c r="C3" s="4" t="s">
        <v>25</v>
      </c>
      <c r="D3" s="4" t="s">
        <v>26</v>
      </c>
      <c r="E3" s="156" t="s">
        <v>272</v>
      </c>
      <c r="G3" s="27">
        <v>1</v>
      </c>
      <c r="H3" s="27" t="s">
        <v>106</v>
      </c>
      <c r="J3" s="27">
        <v>1</v>
      </c>
      <c r="K3" s="27">
        <v>1</v>
      </c>
      <c r="L3" s="27">
        <v>8</v>
      </c>
      <c r="N3" s="27">
        <v>1</v>
      </c>
      <c r="O3" s="27">
        <v>1</v>
      </c>
      <c r="P3" s="9" t="s">
        <v>101</v>
      </c>
      <c r="Q3" s="27">
        <v>1</v>
      </c>
      <c r="R3" s="27" t="s">
        <v>57</v>
      </c>
      <c r="S3" s="9" t="s">
        <v>157</v>
      </c>
      <c r="U3" s="27">
        <v>1</v>
      </c>
      <c r="V3" s="27">
        <v>1</v>
      </c>
      <c r="W3" s="9" t="s">
        <v>108</v>
      </c>
      <c r="X3" s="9" t="s">
        <v>7</v>
      </c>
      <c r="Y3" s="27" t="s">
        <v>106</v>
      </c>
      <c r="Z3" s="27" t="s">
        <v>106</v>
      </c>
      <c r="AA3" s="1"/>
      <c r="AB3" s="20">
        <v>1</v>
      </c>
      <c r="AC3" s="4" t="s">
        <v>475</v>
      </c>
      <c r="AD3" s="20">
        <v>1</v>
      </c>
      <c r="AE3" s="1"/>
      <c r="AF3" s="20">
        <v>1</v>
      </c>
      <c r="AG3" s="20">
        <v>1</v>
      </c>
      <c r="AH3" s="4" t="s">
        <v>475</v>
      </c>
      <c r="AI3" s="4" t="s">
        <v>490</v>
      </c>
      <c r="AJ3" s="4" t="s">
        <v>9</v>
      </c>
      <c r="AL3" s="20">
        <v>1</v>
      </c>
      <c r="AM3" s="23" t="s">
        <v>328</v>
      </c>
      <c r="AO3" s="20">
        <v>1</v>
      </c>
      <c r="AP3" s="23" t="s">
        <v>1</v>
      </c>
    </row>
    <row r="4" spans="1:42" s="30" customFormat="1" ht="17" x14ac:dyDescent="0.2">
      <c r="A4" s="27">
        <v>2</v>
      </c>
      <c r="B4" s="4" t="s">
        <v>18</v>
      </c>
      <c r="C4" s="4" t="s">
        <v>21</v>
      </c>
      <c r="D4" s="4" t="s">
        <v>22</v>
      </c>
      <c r="E4" s="157"/>
      <c r="G4" s="27">
        <v>2</v>
      </c>
      <c r="H4" s="27" t="s">
        <v>106</v>
      </c>
      <c r="J4" s="27">
        <v>2</v>
      </c>
      <c r="K4" s="27">
        <v>1</v>
      </c>
      <c r="L4" s="27">
        <v>7</v>
      </c>
      <c r="N4" s="27">
        <v>2</v>
      </c>
      <c r="O4" s="27">
        <v>2</v>
      </c>
      <c r="P4" s="9" t="s">
        <v>112</v>
      </c>
      <c r="Q4" s="27">
        <v>2</v>
      </c>
      <c r="R4" s="27" t="s">
        <v>57</v>
      </c>
      <c r="S4" s="9" t="s">
        <v>158</v>
      </c>
      <c r="U4" s="27">
        <v>2</v>
      </c>
      <c r="V4" s="27">
        <v>1</v>
      </c>
      <c r="W4" s="9" t="s">
        <v>108</v>
      </c>
      <c r="X4" s="9" t="s">
        <v>5</v>
      </c>
      <c r="Y4" s="27" t="s">
        <v>106</v>
      </c>
      <c r="Z4" s="27" t="s">
        <v>106</v>
      </c>
      <c r="AA4" s="1"/>
      <c r="AB4" s="20">
        <v>2</v>
      </c>
      <c r="AC4" s="4" t="s">
        <v>476</v>
      </c>
      <c r="AD4" s="20">
        <v>3</v>
      </c>
      <c r="AE4" s="1"/>
      <c r="AF4" s="20">
        <v>2</v>
      </c>
      <c r="AG4" s="20">
        <v>2</v>
      </c>
      <c r="AH4" s="4" t="s">
        <v>476</v>
      </c>
      <c r="AI4" s="4" t="s">
        <v>491</v>
      </c>
      <c r="AJ4" s="4" t="s">
        <v>13</v>
      </c>
      <c r="AL4" s="20">
        <v>2</v>
      </c>
      <c r="AM4" s="23" t="s">
        <v>300</v>
      </c>
      <c r="AO4" s="20">
        <v>2</v>
      </c>
      <c r="AP4" s="23" t="s">
        <v>397</v>
      </c>
    </row>
    <row r="5" spans="1:42" s="30" customFormat="1" ht="17" x14ac:dyDescent="0.2">
      <c r="A5" s="27">
        <v>3</v>
      </c>
      <c r="B5" s="4" t="s">
        <v>18</v>
      </c>
      <c r="C5" s="4" t="s">
        <v>19</v>
      </c>
      <c r="D5" s="4" t="s">
        <v>20</v>
      </c>
      <c r="E5" s="157"/>
      <c r="G5" s="27">
        <v>3</v>
      </c>
      <c r="H5" s="27" t="s">
        <v>135</v>
      </c>
      <c r="J5" s="27">
        <v>3</v>
      </c>
      <c r="K5" s="27">
        <v>1</v>
      </c>
      <c r="L5" s="27">
        <v>6</v>
      </c>
      <c r="N5" s="27">
        <v>3</v>
      </c>
      <c r="O5" s="27">
        <v>3</v>
      </c>
      <c r="P5" s="9" t="s">
        <v>110</v>
      </c>
      <c r="Q5" s="27">
        <v>3</v>
      </c>
      <c r="R5" s="27" t="s">
        <v>57</v>
      </c>
      <c r="S5" s="9" t="s">
        <v>159</v>
      </c>
      <c r="U5" s="27">
        <v>3</v>
      </c>
      <c r="V5" s="27">
        <v>1</v>
      </c>
      <c r="W5" s="9" t="s">
        <v>108</v>
      </c>
      <c r="X5" s="9" t="s">
        <v>242</v>
      </c>
      <c r="Y5" s="27" t="s">
        <v>106</v>
      </c>
      <c r="Z5" s="27" t="s">
        <v>106</v>
      </c>
      <c r="AA5" s="1"/>
      <c r="AB5" s="20">
        <v>3</v>
      </c>
      <c r="AC5" s="4" t="s">
        <v>477</v>
      </c>
      <c r="AD5" s="20">
        <v>4</v>
      </c>
      <c r="AE5" s="1"/>
      <c r="AF5" s="20">
        <v>3</v>
      </c>
      <c r="AG5" s="20">
        <v>3</v>
      </c>
      <c r="AH5" s="4" t="s">
        <v>477</v>
      </c>
      <c r="AI5" s="4" t="s">
        <v>494</v>
      </c>
      <c r="AJ5" s="4" t="s">
        <v>385</v>
      </c>
      <c r="AL5" s="20">
        <v>3</v>
      </c>
      <c r="AM5" s="23" t="s">
        <v>301</v>
      </c>
      <c r="AO5" s="20">
        <v>3</v>
      </c>
      <c r="AP5" s="23" t="s">
        <v>422</v>
      </c>
    </row>
    <row r="6" spans="1:42" s="30" customFormat="1" ht="17" x14ac:dyDescent="0.2">
      <c r="A6" s="27">
        <v>4</v>
      </c>
      <c r="B6" s="4" t="s">
        <v>18</v>
      </c>
      <c r="C6" s="4" t="s">
        <v>23</v>
      </c>
      <c r="D6" s="4" t="s">
        <v>24</v>
      </c>
      <c r="E6" s="157"/>
      <c r="G6" s="27">
        <v>4</v>
      </c>
      <c r="H6" s="27" t="s">
        <v>106</v>
      </c>
      <c r="J6" s="27">
        <v>4</v>
      </c>
      <c r="K6" s="27">
        <v>2</v>
      </c>
      <c r="L6" s="27">
        <v>7</v>
      </c>
      <c r="N6" s="27">
        <v>4</v>
      </c>
      <c r="O6" s="27">
        <v>4</v>
      </c>
      <c r="P6" s="9" t="s">
        <v>114</v>
      </c>
      <c r="Q6" s="27">
        <v>4</v>
      </c>
      <c r="R6" s="27" t="s">
        <v>57</v>
      </c>
      <c r="S6" s="9" t="s">
        <v>160</v>
      </c>
      <c r="U6" s="27">
        <v>4</v>
      </c>
      <c r="V6" s="27">
        <v>1</v>
      </c>
      <c r="W6" s="9" t="s">
        <v>108</v>
      </c>
      <c r="X6" s="9" t="s">
        <v>401</v>
      </c>
      <c r="Y6" s="27" t="s">
        <v>106</v>
      </c>
      <c r="Z6" s="27" t="s">
        <v>106</v>
      </c>
      <c r="AA6" s="1"/>
      <c r="AB6" s="20">
        <v>4</v>
      </c>
      <c r="AC6" s="4" t="s">
        <v>478</v>
      </c>
      <c r="AD6" s="20">
        <v>2</v>
      </c>
      <c r="AE6" s="1"/>
      <c r="AF6" s="20">
        <v>4</v>
      </c>
      <c r="AG6" s="20">
        <v>3</v>
      </c>
      <c r="AH6" s="4" t="s">
        <v>477</v>
      </c>
      <c r="AI6" s="4" t="s">
        <v>495</v>
      </c>
      <c r="AJ6" s="4" t="s">
        <v>85</v>
      </c>
      <c r="AL6" s="20">
        <v>4</v>
      </c>
      <c r="AM6" s="23" t="s">
        <v>302</v>
      </c>
      <c r="AO6" s="20">
        <v>4</v>
      </c>
      <c r="AP6" s="23" t="s">
        <v>0</v>
      </c>
    </row>
    <row r="7" spans="1:42" s="30" customFormat="1" ht="17" x14ac:dyDescent="0.2">
      <c r="A7" s="27">
        <v>5</v>
      </c>
      <c r="B7" s="4" t="s">
        <v>18</v>
      </c>
      <c r="C7" s="4" t="s">
        <v>75</v>
      </c>
      <c r="D7" s="4" t="s">
        <v>76</v>
      </c>
      <c r="E7" s="157"/>
      <c r="G7" s="27">
        <v>5</v>
      </c>
      <c r="H7" s="27" t="s">
        <v>135</v>
      </c>
      <c r="J7" s="27">
        <v>5</v>
      </c>
      <c r="K7" s="27">
        <v>2</v>
      </c>
      <c r="L7" s="27">
        <v>6</v>
      </c>
      <c r="N7" s="27">
        <v>5</v>
      </c>
      <c r="O7" s="27">
        <v>5</v>
      </c>
      <c r="P7" s="9" t="s">
        <v>116</v>
      </c>
      <c r="Q7" s="27">
        <v>5</v>
      </c>
      <c r="R7" s="27" t="s">
        <v>57</v>
      </c>
      <c r="S7" s="9" t="s">
        <v>161</v>
      </c>
      <c r="U7" s="27">
        <v>5</v>
      </c>
      <c r="V7" s="27">
        <v>1</v>
      </c>
      <c r="W7" s="9" t="s">
        <v>108</v>
      </c>
      <c r="X7" s="9" t="s">
        <v>6</v>
      </c>
      <c r="Y7" s="27" t="s">
        <v>106</v>
      </c>
      <c r="Z7" s="27" t="s">
        <v>106</v>
      </c>
      <c r="AA7" s="1"/>
      <c r="AB7" s="20">
        <v>5</v>
      </c>
      <c r="AC7" s="4" t="s">
        <v>479</v>
      </c>
      <c r="AD7" s="20">
        <v>2</v>
      </c>
      <c r="AE7" s="1"/>
      <c r="AF7" s="20">
        <v>5</v>
      </c>
      <c r="AG7" s="20">
        <v>3</v>
      </c>
      <c r="AH7" s="4" t="s">
        <v>477</v>
      </c>
      <c r="AI7" s="4" t="s">
        <v>496</v>
      </c>
      <c r="AJ7" s="4" t="s">
        <v>183</v>
      </c>
      <c r="AL7" s="20">
        <v>5</v>
      </c>
      <c r="AM7" s="23" t="s">
        <v>303</v>
      </c>
      <c r="AO7" s="20">
        <v>5</v>
      </c>
      <c r="AP7" s="23" t="s">
        <v>6</v>
      </c>
    </row>
    <row r="8" spans="1:42" s="30" customFormat="1" ht="17" x14ac:dyDescent="0.2">
      <c r="A8" s="27">
        <v>6</v>
      </c>
      <c r="B8" s="4" t="s">
        <v>27</v>
      </c>
      <c r="C8" s="4" t="s">
        <v>28</v>
      </c>
      <c r="D8" s="4" t="s">
        <v>79</v>
      </c>
      <c r="E8" s="157"/>
      <c r="J8" s="27">
        <v>6</v>
      </c>
      <c r="K8" s="27">
        <v>3</v>
      </c>
      <c r="L8" s="27">
        <v>8</v>
      </c>
      <c r="N8" s="27">
        <v>6</v>
      </c>
      <c r="O8" s="27">
        <v>6</v>
      </c>
      <c r="P8" s="9" t="s">
        <v>125</v>
      </c>
      <c r="Q8" s="27">
        <v>6</v>
      </c>
      <c r="R8" s="27">
        <v>3</v>
      </c>
      <c r="S8" s="9" t="s">
        <v>162</v>
      </c>
      <c r="U8" s="27">
        <v>6</v>
      </c>
      <c r="V8" s="27">
        <v>1</v>
      </c>
      <c r="W8" s="9" t="s">
        <v>108</v>
      </c>
      <c r="X8" s="9" t="s">
        <v>218</v>
      </c>
      <c r="Y8" s="27" t="s">
        <v>106</v>
      </c>
      <c r="Z8" s="27" t="s">
        <v>106</v>
      </c>
      <c r="AA8" s="1"/>
      <c r="AB8" s="1"/>
      <c r="AC8" s="1"/>
      <c r="AD8" s="1"/>
      <c r="AE8" s="1"/>
      <c r="AF8" s="20">
        <v>6</v>
      </c>
      <c r="AG8" s="20">
        <v>3</v>
      </c>
      <c r="AH8" s="4" t="s">
        <v>477</v>
      </c>
      <c r="AI8" s="4" t="s">
        <v>497</v>
      </c>
      <c r="AJ8" s="4" t="s">
        <v>181</v>
      </c>
      <c r="AL8" s="20">
        <v>6</v>
      </c>
      <c r="AM8" s="23" t="s">
        <v>329</v>
      </c>
      <c r="AO8" s="20">
        <v>6</v>
      </c>
      <c r="AP8" s="23" t="s">
        <v>400</v>
      </c>
    </row>
    <row r="9" spans="1:42" s="30" customFormat="1" ht="17" x14ac:dyDescent="0.2">
      <c r="A9" s="27">
        <v>7</v>
      </c>
      <c r="B9" s="4" t="s">
        <v>27</v>
      </c>
      <c r="C9" s="4" t="s">
        <v>29</v>
      </c>
      <c r="D9" s="4" t="s">
        <v>78</v>
      </c>
      <c r="E9" s="157"/>
      <c r="J9" s="27">
        <v>7</v>
      </c>
      <c r="K9" s="27">
        <v>3</v>
      </c>
      <c r="L9" s="27">
        <v>7</v>
      </c>
      <c r="N9" s="27">
        <v>7</v>
      </c>
      <c r="O9" s="27">
        <v>6</v>
      </c>
      <c r="P9" s="9" t="s">
        <v>125</v>
      </c>
      <c r="Q9" s="27">
        <v>6</v>
      </c>
      <c r="R9" s="27">
        <v>4</v>
      </c>
      <c r="S9" s="9" t="s">
        <v>163</v>
      </c>
      <c r="U9" s="27">
        <v>7</v>
      </c>
      <c r="V9" s="27">
        <v>1</v>
      </c>
      <c r="W9" s="9" t="s">
        <v>108</v>
      </c>
      <c r="X9" s="9" t="s">
        <v>400</v>
      </c>
      <c r="Y9" s="27" t="s">
        <v>106</v>
      </c>
      <c r="Z9" s="27" t="s">
        <v>106</v>
      </c>
      <c r="AA9" s="1"/>
      <c r="AB9" s="1"/>
      <c r="AC9" s="1"/>
      <c r="AD9" s="1"/>
      <c r="AE9" s="1"/>
      <c r="AF9" s="27">
        <v>7</v>
      </c>
      <c r="AG9" s="27">
        <v>4</v>
      </c>
      <c r="AH9" s="9" t="s">
        <v>478</v>
      </c>
      <c r="AI9" s="9" t="s">
        <v>492</v>
      </c>
      <c r="AJ9" s="9" t="s">
        <v>185</v>
      </c>
      <c r="AL9" s="20">
        <v>7</v>
      </c>
      <c r="AM9" s="23" t="s">
        <v>304</v>
      </c>
      <c r="AO9" s="1"/>
    </row>
    <row r="10" spans="1:42" s="30" customFormat="1" ht="17" x14ac:dyDescent="0.2">
      <c r="A10" s="27">
        <v>8</v>
      </c>
      <c r="B10" s="4" t="s">
        <v>27</v>
      </c>
      <c r="C10" s="4" t="s">
        <v>69</v>
      </c>
      <c r="D10" s="4" t="s">
        <v>77</v>
      </c>
      <c r="E10" s="158"/>
      <c r="J10" s="27">
        <v>8</v>
      </c>
      <c r="K10" s="27">
        <v>3</v>
      </c>
      <c r="L10" s="27">
        <v>6</v>
      </c>
      <c r="N10" s="27">
        <v>8</v>
      </c>
      <c r="O10" s="27">
        <v>7</v>
      </c>
      <c r="P10" s="9" t="s">
        <v>126</v>
      </c>
      <c r="Q10" s="27">
        <v>7</v>
      </c>
      <c r="R10" s="27">
        <v>3</v>
      </c>
      <c r="S10" s="9" t="s">
        <v>164</v>
      </c>
      <c r="U10" s="27">
        <v>8</v>
      </c>
      <c r="V10" s="27">
        <v>1</v>
      </c>
      <c r="W10" s="9" t="s">
        <v>108</v>
      </c>
      <c r="X10" s="9" t="s">
        <v>241</v>
      </c>
      <c r="Y10" s="27" t="s">
        <v>106</v>
      </c>
      <c r="Z10" s="27" t="s">
        <v>106</v>
      </c>
      <c r="AA10" s="1"/>
      <c r="AB10" s="1"/>
      <c r="AC10" s="1"/>
      <c r="AD10" s="1"/>
      <c r="AE10" s="1"/>
      <c r="AF10" s="27">
        <v>8</v>
      </c>
      <c r="AG10" s="27">
        <v>5</v>
      </c>
      <c r="AH10" s="9" t="s">
        <v>479</v>
      </c>
      <c r="AI10" s="9" t="s">
        <v>493</v>
      </c>
      <c r="AJ10" s="9" t="s">
        <v>11</v>
      </c>
      <c r="AL10" s="20">
        <v>8</v>
      </c>
      <c r="AM10" s="23" t="s">
        <v>330</v>
      </c>
    </row>
    <row r="11" spans="1:42" s="30" customFormat="1" ht="17" x14ac:dyDescent="0.2">
      <c r="A11" s="27">
        <v>9</v>
      </c>
      <c r="B11" s="4" t="s">
        <v>30</v>
      </c>
      <c r="C11" s="4" t="s">
        <v>193</v>
      </c>
      <c r="D11" s="4" t="s">
        <v>194</v>
      </c>
      <c r="E11" s="4" t="s">
        <v>58</v>
      </c>
      <c r="J11" s="27">
        <v>9</v>
      </c>
      <c r="K11" s="27">
        <v>4</v>
      </c>
      <c r="L11" s="27">
        <v>6</v>
      </c>
      <c r="N11" s="27">
        <v>9</v>
      </c>
      <c r="O11" s="27">
        <v>7</v>
      </c>
      <c r="P11" s="9" t="s">
        <v>126</v>
      </c>
      <c r="Q11" s="27">
        <v>7</v>
      </c>
      <c r="R11" s="27">
        <v>4</v>
      </c>
      <c r="S11" s="9" t="s">
        <v>165</v>
      </c>
      <c r="U11" s="27">
        <v>9</v>
      </c>
      <c r="V11" s="27">
        <v>1</v>
      </c>
      <c r="W11" s="9" t="s">
        <v>108</v>
      </c>
      <c r="X11" s="9" t="s">
        <v>402</v>
      </c>
      <c r="Y11" s="27" t="s">
        <v>106</v>
      </c>
      <c r="Z11" s="27" t="s">
        <v>106</v>
      </c>
      <c r="AA11" s="1"/>
      <c r="AB11" s="1"/>
      <c r="AC11" s="1"/>
      <c r="AD11" s="1"/>
      <c r="AE11" s="1"/>
      <c r="AF11" s="27">
        <v>9</v>
      </c>
      <c r="AG11" s="27">
        <v>3</v>
      </c>
      <c r="AH11" s="9" t="s">
        <v>477</v>
      </c>
      <c r="AI11" s="9" t="s">
        <v>498</v>
      </c>
      <c r="AJ11" s="9" t="s">
        <v>244</v>
      </c>
      <c r="AL11" s="20">
        <v>9</v>
      </c>
      <c r="AM11" s="23" t="s">
        <v>334</v>
      </c>
    </row>
    <row r="12" spans="1:42" s="30" customFormat="1" ht="17" x14ac:dyDescent="0.2">
      <c r="A12" s="27">
        <v>10</v>
      </c>
      <c r="B12" s="4" t="s">
        <v>30</v>
      </c>
      <c r="C12" s="4" t="s">
        <v>417</v>
      </c>
      <c r="D12" s="4" t="s">
        <v>31</v>
      </c>
      <c r="E12" s="4" t="s">
        <v>59</v>
      </c>
      <c r="J12" s="27">
        <v>10</v>
      </c>
      <c r="K12" s="27">
        <v>5</v>
      </c>
      <c r="L12" s="27">
        <v>6</v>
      </c>
      <c r="N12" s="27">
        <v>10</v>
      </c>
      <c r="O12" s="27">
        <v>8</v>
      </c>
      <c r="P12" s="9" t="s">
        <v>127</v>
      </c>
      <c r="Q12" s="27">
        <v>7</v>
      </c>
      <c r="R12" s="27">
        <v>1</v>
      </c>
      <c r="S12" s="9" t="s">
        <v>166</v>
      </c>
      <c r="U12" s="27">
        <v>10</v>
      </c>
      <c r="V12" s="27">
        <v>1</v>
      </c>
      <c r="W12" s="9" t="s">
        <v>108</v>
      </c>
      <c r="X12" s="9" t="s">
        <v>233</v>
      </c>
      <c r="Y12" s="27" t="s">
        <v>106</v>
      </c>
      <c r="Z12" s="27" t="s">
        <v>106</v>
      </c>
      <c r="AA12" s="1"/>
      <c r="AB12" s="1"/>
      <c r="AC12" s="1"/>
      <c r="AD12" s="1"/>
      <c r="AE12" s="1"/>
      <c r="AL12" s="20">
        <v>10</v>
      </c>
      <c r="AM12" s="23" t="s">
        <v>305</v>
      </c>
    </row>
    <row r="13" spans="1:42" s="30" customFormat="1" ht="17" x14ac:dyDescent="0.2">
      <c r="A13" s="27">
        <v>11</v>
      </c>
      <c r="B13" s="4" t="s">
        <v>30</v>
      </c>
      <c r="C13" s="4" t="s">
        <v>419</v>
      </c>
      <c r="D13" s="4" t="s">
        <v>32</v>
      </c>
      <c r="E13" s="4" t="s">
        <v>60</v>
      </c>
      <c r="N13" s="27">
        <v>11</v>
      </c>
      <c r="O13" s="27">
        <v>9</v>
      </c>
      <c r="P13" s="9" t="s">
        <v>128</v>
      </c>
      <c r="Q13" s="27">
        <v>7</v>
      </c>
      <c r="R13" s="27">
        <v>5</v>
      </c>
      <c r="S13" s="9" t="s">
        <v>167</v>
      </c>
      <c r="U13" s="27">
        <v>11</v>
      </c>
      <c r="V13" s="27">
        <v>2</v>
      </c>
      <c r="W13" s="9" t="s">
        <v>140</v>
      </c>
      <c r="X13" s="9" t="s">
        <v>7</v>
      </c>
      <c r="Y13" s="27" t="s">
        <v>106</v>
      </c>
      <c r="Z13" s="27" t="s">
        <v>106</v>
      </c>
      <c r="AA13" s="1"/>
      <c r="AB13" s="1"/>
      <c r="AC13" s="1"/>
      <c r="AD13" s="1"/>
      <c r="AE13" s="1"/>
      <c r="AL13" s="20">
        <v>11</v>
      </c>
      <c r="AM13" s="23" t="s">
        <v>306</v>
      </c>
    </row>
    <row r="14" spans="1:42" s="30" customFormat="1" ht="17" x14ac:dyDescent="0.2">
      <c r="A14" s="27">
        <v>12</v>
      </c>
      <c r="B14" s="4" t="s">
        <v>30</v>
      </c>
      <c r="C14" s="4" t="s">
        <v>418</v>
      </c>
      <c r="D14" s="4" t="s">
        <v>33</v>
      </c>
      <c r="E14" s="4" t="s">
        <v>61</v>
      </c>
      <c r="N14" s="27">
        <v>12</v>
      </c>
      <c r="O14" s="27">
        <v>10</v>
      </c>
      <c r="P14" s="9" t="s">
        <v>129</v>
      </c>
      <c r="Q14" s="27">
        <v>7</v>
      </c>
      <c r="R14" s="27">
        <v>3</v>
      </c>
      <c r="S14" s="9" t="s">
        <v>164</v>
      </c>
      <c r="U14" s="27">
        <v>12</v>
      </c>
      <c r="V14" s="27">
        <v>2</v>
      </c>
      <c r="W14" s="9" t="s">
        <v>140</v>
      </c>
      <c r="X14" s="9" t="s">
        <v>5</v>
      </c>
      <c r="Y14" s="27" t="s">
        <v>106</v>
      </c>
      <c r="Z14" s="27" t="s">
        <v>135</v>
      </c>
      <c r="AA14" s="1"/>
      <c r="AB14" s="1"/>
      <c r="AC14" s="1"/>
      <c r="AD14" s="1"/>
      <c r="AE14" s="1"/>
      <c r="AL14" s="20">
        <v>12</v>
      </c>
      <c r="AM14" s="23" t="s">
        <v>307</v>
      </c>
    </row>
    <row r="15" spans="1:42" s="30" customFormat="1" ht="17" x14ac:dyDescent="0.2">
      <c r="A15" s="27">
        <v>13</v>
      </c>
      <c r="B15" s="4" t="s">
        <v>30</v>
      </c>
      <c r="C15" s="4" t="s">
        <v>34</v>
      </c>
      <c r="D15" s="4" t="s">
        <v>35</v>
      </c>
      <c r="E15" s="4" t="s">
        <v>61</v>
      </c>
      <c r="N15" s="27">
        <v>13</v>
      </c>
      <c r="O15" s="27">
        <v>10</v>
      </c>
      <c r="P15" s="9" t="s">
        <v>129</v>
      </c>
      <c r="Q15" s="27">
        <v>7</v>
      </c>
      <c r="R15" s="27">
        <v>4</v>
      </c>
      <c r="S15" s="9" t="s">
        <v>165</v>
      </c>
      <c r="U15" s="27">
        <v>13</v>
      </c>
      <c r="V15" s="27">
        <v>2</v>
      </c>
      <c r="W15" s="9" t="s">
        <v>140</v>
      </c>
      <c r="X15" s="9" t="s">
        <v>242</v>
      </c>
      <c r="Y15" s="27" t="s">
        <v>106</v>
      </c>
      <c r="Z15" s="27" t="s">
        <v>106</v>
      </c>
      <c r="AA15" s="1"/>
      <c r="AB15" s="1"/>
      <c r="AC15" s="1"/>
      <c r="AD15" s="1"/>
      <c r="AE15" s="1"/>
      <c r="AL15" s="20">
        <v>13</v>
      </c>
      <c r="AM15" s="23" t="s">
        <v>308</v>
      </c>
    </row>
    <row r="16" spans="1:42" s="30" customFormat="1" ht="17" x14ac:dyDescent="0.2">
      <c r="A16" s="27">
        <v>14</v>
      </c>
      <c r="B16" s="4" t="s">
        <v>30</v>
      </c>
      <c r="C16" s="4" t="s">
        <v>36</v>
      </c>
      <c r="D16" s="4" t="s">
        <v>37</v>
      </c>
      <c r="E16" s="4" t="s">
        <v>62</v>
      </c>
      <c r="N16" s="27">
        <v>14</v>
      </c>
      <c r="O16" s="27">
        <v>11</v>
      </c>
      <c r="P16" s="9" t="s">
        <v>130</v>
      </c>
      <c r="Q16" s="27">
        <v>7</v>
      </c>
      <c r="R16" s="27">
        <v>2</v>
      </c>
      <c r="S16" s="9" t="s">
        <v>168</v>
      </c>
      <c r="U16" s="27">
        <v>14</v>
      </c>
      <c r="V16" s="27">
        <v>2</v>
      </c>
      <c r="W16" s="9" t="s">
        <v>140</v>
      </c>
      <c r="X16" s="9" t="s">
        <v>401</v>
      </c>
      <c r="Y16" s="27" t="s">
        <v>106</v>
      </c>
      <c r="Z16" s="27" t="s">
        <v>106</v>
      </c>
      <c r="AA16" s="1"/>
      <c r="AB16" s="1"/>
      <c r="AC16" s="1"/>
      <c r="AD16" s="1"/>
      <c r="AE16" s="1"/>
      <c r="AL16" s="20">
        <v>14</v>
      </c>
      <c r="AM16" s="23" t="s">
        <v>331</v>
      </c>
    </row>
    <row r="17" spans="1:39" s="30" customFormat="1" ht="17" x14ac:dyDescent="0.2">
      <c r="A17" s="27">
        <v>15</v>
      </c>
      <c r="B17" s="4" t="s">
        <v>30</v>
      </c>
      <c r="C17" s="4" t="s">
        <v>38</v>
      </c>
      <c r="D17" s="4" t="s">
        <v>39</v>
      </c>
      <c r="E17" s="4" t="s">
        <v>63</v>
      </c>
      <c r="N17" s="27">
        <v>15</v>
      </c>
      <c r="O17" s="27">
        <v>12</v>
      </c>
      <c r="P17" s="9" t="s">
        <v>137</v>
      </c>
      <c r="Q17" s="27">
        <v>8</v>
      </c>
      <c r="R17" s="27">
        <v>3</v>
      </c>
      <c r="S17" s="9" t="s">
        <v>169</v>
      </c>
      <c r="U17" s="27">
        <v>15</v>
      </c>
      <c r="V17" s="27">
        <v>2</v>
      </c>
      <c r="W17" s="9" t="s">
        <v>140</v>
      </c>
      <c r="X17" s="9" t="s">
        <v>6</v>
      </c>
      <c r="Y17" s="27" t="s">
        <v>106</v>
      </c>
      <c r="Z17" s="27" t="s">
        <v>135</v>
      </c>
      <c r="AA17" s="1"/>
      <c r="AB17" s="1"/>
      <c r="AC17" s="1"/>
      <c r="AD17" s="1"/>
      <c r="AE17" s="1"/>
      <c r="AL17" s="20">
        <v>15</v>
      </c>
      <c r="AM17" s="23" t="s">
        <v>309</v>
      </c>
    </row>
    <row r="18" spans="1:39" s="30" customFormat="1" ht="17" x14ac:dyDescent="0.2">
      <c r="A18" s="27">
        <v>16</v>
      </c>
      <c r="B18" s="4" t="s">
        <v>30</v>
      </c>
      <c r="C18" s="4" t="s">
        <v>40</v>
      </c>
      <c r="D18" s="4" t="s">
        <v>41</v>
      </c>
      <c r="E18" s="4" t="s">
        <v>64</v>
      </c>
      <c r="N18" s="27">
        <v>16</v>
      </c>
      <c r="O18" s="27">
        <v>12</v>
      </c>
      <c r="P18" s="9" t="s">
        <v>137</v>
      </c>
      <c r="Q18" s="27">
        <v>8</v>
      </c>
      <c r="R18" s="27">
        <v>4</v>
      </c>
      <c r="S18" s="9" t="s">
        <v>170</v>
      </c>
      <c r="U18" s="27">
        <v>16</v>
      </c>
      <c r="V18" s="27">
        <v>2</v>
      </c>
      <c r="W18" s="9" t="s">
        <v>140</v>
      </c>
      <c r="X18" s="9" t="s">
        <v>218</v>
      </c>
      <c r="Y18" s="27" t="s">
        <v>106</v>
      </c>
      <c r="Z18" s="27" t="s">
        <v>135</v>
      </c>
      <c r="AA18" s="1"/>
      <c r="AB18" s="1"/>
      <c r="AC18" s="1"/>
      <c r="AD18" s="1"/>
      <c r="AE18" s="1"/>
      <c r="AL18" s="20">
        <v>16</v>
      </c>
      <c r="AM18" s="23" t="s">
        <v>310</v>
      </c>
    </row>
    <row r="19" spans="1:39" s="30" customFormat="1" ht="17" x14ac:dyDescent="0.2">
      <c r="A19" s="27">
        <v>17</v>
      </c>
      <c r="B19" s="4" t="s">
        <v>30</v>
      </c>
      <c r="C19" s="4" t="s">
        <v>42</v>
      </c>
      <c r="D19" s="4" t="s">
        <v>43</v>
      </c>
      <c r="E19" s="4" t="s">
        <v>65</v>
      </c>
      <c r="N19" s="27">
        <v>17</v>
      </c>
      <c r="O19" s="27">
        <v>13</v>
      </c>
      <c r="P19" s="9" t="s">
        <v>139</v>
      </c>
      <c r="Q19" s="27">
        <v>8</v>
      </c>
      <c r="R19" s="27">
        <v>3</v>
      </c>
      <c r="S19" s="9" t="s">
        <v>169</v>
      </c>
      <c r="U19" s="27">
        <v>17</v>
      </c>
      <c r="V19" s="27">
        <v>2</v>
      </c>
      <c r="W19" s="9" t="s">
        <v>140</v>
      </c>
      <c r="X19" s="9" t="s">
        <v>400</v>
      </c>
      <c r="Y19" s="27" t="s">
        <v>106</v>
      </c>
      <c r="Z19" s="27" t="s">
        <v>135</v>
      </c>
      <c r="AA19" s="1"/>
      <c r="AB19" s="1"/>
      <c r="AC19" s="1"/>
      <c r="AD19" s="1"/>
      <c r="AE19" s="1"/>
      <c r="AL19" s="20">
        <v>17</v>
      </c>
      <c r="AM19" s="23" t="s">
        <v>311</v>
      </c>
    </row>
    <row r="20" spans="1:39" s="30" customFormat="1" ht="17" x14ac:dyDescent="0.2">
      <c r="A20" s="27">
        <v>18</v>
      </c>
      <c r="B20" s="4" t="s">
        <v>30</v>
      </c>
      <c r="C20" s="4" t="s">
        <v>44</v>
      </c>
      <c r="D20" s="4" t="s">
        <v>45</v>
      </c>
      <c r="E20" s="4" t="s">
        <v>66</v>
      </c>
      <c r="N20" s="27">
        <v>18</v>
      </c>
      <c r="O20" s="27">
        <v>13</v>
      </c>
      <c r="P20" s="9" t="s">
        <v>139</v>
      </c>
      <c r="Q20" s="27">
        <v>8</v>
      </c>
      <c r="R20" s="27">
        <v>4</v>
      </c>
      <c r="S20" s="9" t="s">
        <v>170</v>
      </c>
      <c r="U20" s="27">
        <v>18</v>
      </c>
      <c r="V20" s="27">
        <v>2</v>
      </c>
      <c r="W20" s="9" t="s">
        <v>140</v>
      </c>
      <c r="X20" s="9" t="s">
        <v>402</v>
      </c>
      <c r="Y20" s="27" t="s">
        <v>106</v>
      </c>
      <c r="Z20" s="27" t="s">
        <v>135</v>
      </c>
      <c r="AA20" s="1"/>
      <c r="AB20" s="1"/>
      <c r="AC20" s="1"/>
      <c r="AD20" s="1"/>
      <c r="AE20" s="1"/>
      <c r="AL20" s="20">
        <v>18</v>
      </c>
      <c r="AM20" s="23" t="s">
        <v>332</v>
      </c>
    </row>
    <row r="21" spans="1:39" s="30" customFormat="1" ht="17" x14ac:dyDescent="0.2">
      <c r="A21" s="27">
        <v>19</v>
      </c>
      <c r="B21" s="4" t="s">
        <v>30</v>
      </c>
      <c r="C21" s="4" t="s">
        <v>46</v>
      </c>
      <c r="D21" s="4" t="s">
        <v>47</v>
      </c>
      <c r="E21" s="4" t="s">
        <v>63</v>
      </c>
      <c r="N21" s="27">
        <v>19</v>
      </c>
      <c r="O21" s="27">
        <v>14</v>
      </c>
      <c r="P21" s="9" t="s">
        <v>134</v>
      </c>
      <c r="Q21" s="27">
        <v>7</v>
      </c>
      <c r="R21" s="27">
        <v>2</v>
      </c>
      <c r="S21" s="9" t="s">
        <v>168</v>
      </c>
      <c r="U21" s="27">
        <v>19</v>
      </c>
      <c r="V21" s="27">
        <v>2</v>
      </c>
      <c r="W21" s="9" t="s">
        <v>140</v>
      </c>
      <c r="X21" s="9" t="s">
        <v>233</v>
      </c>
      <c r="Y21" s="27" t="s">
        <v>106</v>
      </c>
      <c r="Z21" s="27" t="s">
        <v>135</v>
      </c>
      <c r="AA21" s="1"/>
      <c r="AB21" s="1"/>
      <c r="AC21" s="1"/>
      <c r="AD21" s="1"/>
      <c r="AE21" s="1"/>
      <c r="AL21" s="20">
        <v>19</v>
      </c>
      <c r="AM21" s="23" t="s">
        <v>333</v>
      </c>
    </row>
    <row r="22" spans="1:39" s="30" customFormat="1" ht="17" x14ac:dyDescent="0.2">
      <c r="A22" s="27">
        <v>20</v>
      </c>
      <c r="B22" s="4" t="s">
        <v>30</v>
      </c>
      <c r="C22" s="4" t="s">
        <v>416</v>
      </c>
      <c r="D22" s="4" t="s">
        <v>48</v>
      </c>
      <c r="E22" s="4" t="s">
        <v>67</v>
      </c>
      <c r="N22" s="27">
        <v>20</v>
      </c>
      <c r="O22" s="27">
        <v>15</v>
      </c>
      <c r="P22" s="9" t="s">
        <v>131</v>
      </c>
      <c r="Q22" s="27">
        <v>9</v>
      </c>
      <c r="R22" s="27" t="s">
        <v>57</v>
      </c>
      <c r="S22" s="9" t="s">
        <v>171</v>
      </c>
      <c r="U22" s="27">
        <v>20</v>
      </c>
      <c r="V22" s="27">
        <v>3</v>
      </c>
      <c r="W22" s="9" t="s">
        <v>156</v>
      </c>
      <c r="X22" s="9" t="s">
        <v>7</v>
      </c>
      <c r="Y22" s="27" t="s">
        <v>106</v>
      </c>
      <c r="Z22" s="27" t="s">
        <v>135</v>
      </c>
      <c r="AA22" s="1"/>
      <c r="AB22" s="1"/>
      <c r="AC22" s="1"/>
      <c r="AD22" s="1"/>
      <c r="AE22" s="1"/>
      <c r="AL22" s="20">
        <v>20</v>
      </c>
      <c r="AM22" s="23" t="s">
        <v>312</v>
      </c>
    </row>
    <row r="23" spans="1:39" s="30" customFormat="1" ht="17" x14ac:dyDescent="0.2">
      <c r="A23" s="27">
        <v>21</v>
      </c>
      <c r="B23" s="4" t="s">
        <v>84</v>
      </c>
      <c r="C23" s="4" t="s">
        <v>2</v>
      </c>
      <c r="D23" s="4" t="s">
        <v>49</v>
      </c>
      <c r="E23" s="4" t="s">
        <v>66</v>
      </c>
      <c r="N23" s="27">
        <v>21</v>
      </c>
      <c r="O23" s="27">
        <v>16</v>
      </c>
      <c r="P23" s="9" t="s">
        <v>132</v>
      </c>
      <c r="Q23" s="27">
        <v>10</v>
      </c>
      <c r="R23" s="27">
        <v>3</v>
      </c>
      <c r="S23" s="9" t="s">
        <v>172</v>
      </c>
      <c r="U23" s="27">
        <v>21</v>
      </c>
      <c r="V23" s="27">
        <v>3</v>
      </c>
      <c r="W23" s="9" t="s">
        <v>156</v>
      </c>
      <c r="X23" s="9" t="s">
        <v>5</v>
      </c>
      <c r="Y23" s="27" t="s">
        <v>106</v>
      </c>
      <c r="Z23" s="27" t="s">
        <v>135</v>
      </c>
      <c r="AA23" s="1"/>
      <c r="AB23" s="1"/>
      <c r="AC23" s="1"/>
      <c r="AD23" s="1"/>
      <c r="AE23" s="1"/>
      <c r="AL23" s="20">
        <v>21</v>
      </c>
      <c r="AM23" s="23" t="s">
        <v>313</v>
      </c>
    </row>
    <row r="24" spans="1:39" s="30" customFormat="1" ht="17" x14ac:dyDescent="0.2">
      <c r="A24" s="27">
        <v>22</v>
      </c>
      <c r="B24" s="4" t="s">
        <v>84</v>
      </c>
      <c r="C24" s="4" t="s">
        <v>4</v>
      </c>
      <c r="D24" s="4" t="s">
        <v>50</v>
      </c>
      <c r="E24" s="4" t="s">
        <v>63</v>
      </c>
      <c r="N24" s="27">
        <v>22</v>
      </c>
      <c r="O24" s="27">
        <v>16</v>
      </c>
      <c r="P24" s="9" t="s">
        <v>132</v>
      </c>
      <c r="Q24" s="27">
        <v>10</v>
      </c>
      <c r="R24" s="27">
        <v>4</v>
      </c>
      <c r="S24" s="9" t="s">
        <v>173</v>
      </c>
      <c r="U24" s="27">
        <v>22</v>
      </c>
      <c r="V24" s="27">
        <v>3</v>
      </c>
      <c r="W24" s="9" t="s">
        <v>156</v>
      </c>
      <c r="X24" s="9" t="s">
        <v>242</v>
      </c>
      <c r="Y24" s="27" t="s">
        <v>106</v>
      </c>
      <c r="Z24" s="27" t="s">
        <v>135</v>
      </c>
      <c r="AA24" s="1"/>
      <c r="AB24" s="1"/>
      <c r="AC24" s="1"/>
      <c r="AD24" s="1"/>
      <c r="AE24" s="1"/>
      <c r="AL24" s="20">
        <v>22</v>
      </c>
      <c r="AM24" s="23" t="s">
        <v>314</v>
      </c>
    </row>
    <row r="25" spans="1:39" s="30" customFormat="1" ht="17" x14ac:dyDescent="0.2">
      <c r="A25" s="27">
        <v>23</v>
      </c>
      <c r="B25" s="4" t="s">
        <v>84</v>
      </c>
      <c r="C25" s="4" t="s">
        <v>3</v>
      </c>
      <c r="D25" s="4" t="s">
        <v>51</v>
      </c>
      <c r="E25" s="4" t="s">
        <v>59</v>
      </c>
      <c r="N25" s="27">
        <v>23</v>
      </c>
      <c r="O25" s="27">
        <v>17</v>
      </c>
      <c r="P25" s="9" t="s">
        <v>219</v>
      </c>
      <c r="Q25" s="27">
        <v>10</v>
      </c>
      <c r="R25" s="27">
        <v>1</v>
      </c>
      <c r="S25" s="9" t="s">
        <v>220</v>
      </c>
      <c r="U25" s="27">
        <v>23</v>
      </c>
      <c r="V25" s="27">
        <v>3</v>
      </c>
      <c r="W25" s="9" t="s">
        <v>156</v>
      </c>
      <c r="X25" s="9" t="s">
        <v>401</v>
      </c>
      <c r="Y25" s="27" t="s">
        <v>106</v>
      </c>
      <c r="Z25" s="27" t="s">
        <v>135</v>
      </c>
      <c r="AA25" s="1"/>
      <c r="AB25" s="1"/>
      <c r="AC25" s="1"/>
      <c r="AD25" s="1"/>
      <c r="AE25" s="1"/>
      <c r="AL25" s="20">
        <v>23</v>
      </c>
      <c r="AM25" s="23" t="s">
        <v>315</v>
      </c>
    </row>
    <row r="26" spans="1:39" s="30" customFormat="1" ht="17" x14ac:dyDescent="0.2">
      <c r="A26" s="27">
        <v>24</v>
      </c>
      <c r="B26" s="4" t="s">
        <v>84</v>
      </c>
      <c r="C26" s="4" t="s">
        <v>262</v>
      </c>
      <c r="D26" s="4" t="s">
        <v>52</v>
      </c>
      <c r="E26" s="4" t="s">
        <v>58</v>
      </c>
      <c r="N26" s="27">
        <v>24</v>
      </c>
      <c r="O26" s="27">
        <v>17</v>
      </c>
      <c r="P26" s="9" t="s">
        <v>219</v>
      </c>
      <c r="Q26" s="27">
        <v>10</v>
      </c>
      <c r="R26" s="27">
        <v>2</v>
      </c>
      <c r="S26" s="9" t="s">
        <v>247</v>
      </c>
      <c r="U26" s="27">
        <v>24</v>
      </c>
      <c r="V26" s="27">
        <v>3</v>
      </c>
      <c r="W26" s="9" t="s">
        <v>156</v>
      </c>
      <c r="X26" s="9" t="s">
        <v>6</v>
      </c>
      <c r="Y26" s="27" t="s">
        <v>106</v>
      </c>
      <c r="Z26" s="27" t="s">
        <v>135</v>
      </c>
      <c r="AA26" s="1"/>
      <c r="AB26" s="1"/>
      <c r="AC26" s="1"/>
      <c r="AD26" s="1"/>
      <c r="AE26" s="1"/>
      <c r="AL26" s="20">
        <v>24</v>
      </c>
      <c r="AM26" s="23" t="s">
        <v>316</v>
      </c>
    </row>
    <row r="27" spans="1:39" s="30" customFormat="1" ht="17" x14ac:dyDescent="0.2">
      <c r="A27" s="27">
        <v>25</v>
      </c>
      <c r="B27" s="4" t="s">
        <v>84</v>
      </c>
      <c r="C27" s="4" t="s">
        <v>261</v>
      </c>
      <c r="D27" s="4" t="s">
        <v>53</v>
      </c>
      <c r="E27" s="4" t="s">
        <v>63</v>
      </c>
      <c r="N27" s="27">
        <v>25</v>
      </c>
      <c r="O27" s="27">
        <v>18</v>
      </c>
      <c r="P27" s="9" t="s">
        <v>224</v>
      </c>
      <c r="Q27" s="27">
        <v>10</v>
      </c>
      <c r="R27" s="27">
        <v>1</v>
      </c>
      <c r="S27" s="9" t="s">
        <v>220</v>
      </c>
      <c r="U27" s="27">
        <v>25</v>
      </c>
      <c r="V27" s="27">
        <v>3</v>
      </c>
      <c r="W27" s="9" t="s">
        <v>156</v>
      </c>
      <c r="X27" s="9" t="s">
        <v>218</v>
      </c>
      <c r="Y27" s="27" t="s">
        <v>106</v>
      </c>
      <c r="Z27" s="27" t="s">
        <v>135</v>
      </c>
      <c r="AA27" s="1"/>
      <c r="AB27" s="1"/>
      <c r="AC27" s="1"/>
      <c r="AD27" s="1"/>
      <c r="AE27" s="1"/>
      <c r="AL27" s="20">
        <v>25</v>
      </c>
      <c r="AM27" s="23" t="s">
        <v>317</v>
      </c>
    </row>
    <row r="28" spans="1:39" s="30" customFormat="1" ht="17" x14ac:dyDescent="0.2">
      <c r="A28" s="27">
        <v>26</v>
      </c>
      <c r="B28" s="4" t="s">
        <v>84</v>
      </c>
      <c r="C28" s="4" t="s">
        <v>415</v>
      </c>
      <c r="D28" s="4" t="s">
        <v>54</v>
      </c>
      <c r="E28" s="4" t="s">
        <v>63</v>
      </c>
      <c r="N28" s="33" t="s">
        <v>82</v>
      </c>
      <c r="O28" s="27" t="s">
        <v>83</v>
      </c>
      <c r="P28" s="9" t="s">
        <v>178</v>
      </c>
      <c r="Q28" s="27" t="s">
        <v>83</v>
      </c>
      <c r="R28" s="27" t="s">
        <v>83</v>
      </c>
      <c r="S28" s="27" t="s">
        <v>83</v>
      </c>
      <c r="U28" s="27">
        <v>26</v>
      </c>
      <c r="V28" s="27">
        <v>3</v>
      </c>
      <c r="W28" s="9" t="s">
        <v>156</v>
      </c>
      <c r="X28" s="9" t="s">
        <v>400</v>
      </c>
      <c r="Y28" s="27" t="s">
        <v>106</v>
      </c>
      <c r="Z28" s="27" t="s">
        <v>135</v>
      </c>
      <c r="AA28" s="1"/>
      <c r="AB28" s="1"/>
      <c r="AC28" s="1"/>
      <c r="AD28" s="1"/>
      <c r="AE28" s="1"/>
      <c r="AL28" s="20">
        <v>26</v>
      </c>
      <c r="AM28" s="23" t="s">
        <v>318</v>
      </c>
    </row>
    <row r="29" spans="1:39" s="30" customFormat="1" ht="17" x14ac:dyDescent="0.2">
      <c r="A29" s="27">
        <v>27</v>
      </c>
      <c r="B29" s="4" t="s">
        <v>84</v>
      </c>
      <c r="C29" s="4" t="s">
        <v>260</v>
      </c>
      <c r="D29" s="4" t="s">
        <v>55</v>
      </c>
      <c r="E29" s="4" t="s">
        <v>63</v>
      </c>
      <c r="U29" s="27">
        <v>27</v>
      </c>
      <c r="V29" s="27">
        <v>3</v>
      </c>
      <c r="W29" s="9" t="s">
        <v>156</v>
      </c>
      <c r="X29" s="9" t="s">
        <v>241</v>
      </c>
      <c r="Y29" s="27" t="s">
        <v>106</v>
      </c>
      <c r="Z29" s="27" t="s">
        <v>135</v>
      </c>
      <c r="AA29" s="1"/>
      <c r="AB29" s="1"/>
      <c r="AC29" s="1"/>
      <c r="AD29" s="1"/>
      <c r="AE29" s="1"/>
      <c r="AL29" s="20">
        <v>27</v>
      </c>
      <c r="AM29" s="23" t="s">
        <v>335</v>
      </c>
    </row>
    <row r="30" spans="1:39" s="30" customFormat="1" ht="17" x14ac:dyDescent="0.2">
      <c r="A30" s="27">
        <v>28</v>
      </c>
      <c r="B30" s="4" t="s">
        <v>84</v>
      </c>
      <c r="C30" s="4" t="s">
        <v>259</v>
      </c>
      <c r="D30" s="4" t="s">
        <v>56</v>
      </c>
      <c r="E30" s="4" t="s">
        <v>62</v>
      </c>
      <c r="U30" s="27">
        <v>28</v>
      </c>
      <c r="V30" s="27">
        <v>3</v>
      </c>
      <c r="W30" s="9" t="s">
        <v>156</v>
      </c>
      <c r="X30" s="9" t="s">
        <v>402</v>
      </c>
      <c r="Y30" s="27" t="s">
        <v>106</v>
      </c>
      <c r="Z30" s="27" t="s">
        <v>135</v>
      </c>
      <c r="AA30" s="1"/>
      <c r="AB30" s="1"/>
      <c r="AC30" s="1"/>
      <c r="AD30" s="1"/>
      <c r="AE30" s="1"/>
      <c r="AL30" s="20">
        <v>28</v>
      </c>
      <c r="AM30" s="23" t="s">
        <v>319</v>
      </c>
    </row>
    <row r="31" spans="1:39" s="30" customFormat="1" ht="17" x14ac:dyDescent="0.2">
      <c r="A31" s="27">
        <v>29</v>
      </c>
      <c r="B31" s="4" t="s">
        <v>84</v>
      </c>
      <c r="C31" s="4" t="s">
        <v>257</v>
      </c>
      <c r="D31" s="4" t="s">
        <v>258</v>
      </c>
      <c r="E31" s="4" t="s">
        <v>66</v>
      </c>
      <c r="U31" s="27">
        <v>29</v>
      </c>
      <c r="V31" s="27">
        <v>3</v>
      </c>
      <c r="W31" s="9" t="s">
        <v>156</v>
      </c>
      <c r="X31" s="9" t="s">
        <v>233</v>
      </c>
      <c r="Y31" s="27" t="s">
        <v>106</v>
      </c>
      <c r="Z31" s="27" t="s">
        <v>135</v>
      </c>
      <c r="AA31" s="1"/>
      <c r="AB31" s="1"/>
      <c r="AC31" s="1"/>
      <c r="AD31" s="1"/>
      <c r="AE31" s="1"/>
      <c r="AL31" s="20">
        <v>29</v>
      </c>
      <c r="AM31" s="23" t="s">
        <v>320</v>
      </c>
    </row>
    <row r="32" spans="1:39" s="30" customFormat="1" ht="17" x14ac:dyDescent="0.2">
      <c r="A32" s="27">
        <v>30</v>
      </c>
      <c r="B32" s="4" t="s">
        <v>84</v>
      </c>
      <c r="C32" s="4" t="s">
        <v>266</v>
      </c>
      <c r="D32" s="4" t="s">
        <v>267</v>
      </c>
      <c r="E32" s="4" t="s">
        <v>63</v>
      </c>
      <c r="U32" s="27">
        <v>30</v>
      </c>
      <c r="V32" s="27">
        <v>4</v>
      </c>
      <c r="W32" s="9" t="s">
        <v>141</v>
      </c>
      <c r="X32" s="9" t="s">
        <v>7</v>
      </c>
      <c r="Y32" s="27" t="s">
        <v>106</v>
      </c>
      <c r="Z32" s="27" t="s">
        <v>135</v>
      </c>
      <c r="AA32" s="1"/>
      <c r="AB32" s="1"/>
      <c r="AC32" s="1"/>
      <c r="AD32" s="1"/>
      <c r="AE32" s="1"/>
      <c r="AL32" s="20">
        <v>30</v>
      </c>
      <c r="AM32" s="23" t="s">
        <v>321</v>
      </c>
    </row>
    <row r="33" spans="1:39" s="30" customFormat="1" ht="17" customHeight="1" x14ac:dyDescent="0.2">
      <c r="A33" s="27">
        <v>31</v>
      </c>
      <c r="B33" s="4" t="s">
        <v>400</v>
      </c>
      <c r="C33" s="4" t="s">
        <v>433</v>
      </c>
      <c r="D33" s="4" t="s">
        <v>420</v>
      </c>
      <c r="E33" s="155" t="s">
        <v>272</v>
      </c>
      <c r="U33" s="27">
        <v>31</v>
      </c>
      <c r="V33" s="27">
        <v>4</v>
      </c>
      <c r="W33" s="9" t="s">
        <v>141</v>
      </c>
      <c r="X33" s="9" t="s">
        <v>242</v>
      </c>
      <c r="Y33" s="27" t="s">
        <v>106</v>
      </c>
      <c r="Z33" s="27" t="s">
        <v>135</v>
      </c>
      <c r="AA33" s="1"/>
      <c r="AB33" s="1"/>
      <c r="AC33" s="1"/>
      <c r="AD33" s="1"/>
      <c r="AE33" s="1"/>
      <c r="AL33" s="20">
        <v>31</v>
      </c>
      <c r="AM33" s="23" t="s">
        <v>322</v>
      </c>
    </row>
    <row r="34" spans="1:39" s="30" customFormat="1" ht="17" x14ac:dyDescent="0.2">
      <c r="A34" s="27">
        <v>32</v>
      </c>
      <c r="B34" s="4" t="s">
        <v>400</v>
      </c>
      <c r="C34" s="4" t="s">
        <v>434</v>
      </c>
      <c r="D34" s="4" t="s">
        <v>288</v>
      </c>
      <c r="E34" s="155"/>
      <c r="U34" s="27">
        <v>32</v>
      </c>
      <c r="V34" s="27">
        <v>4</v>
      </c>
      <c r="W34" s="9" t="s">
        <v>141</v>
      </c>
      <c r="X34" s="9" t="s">
        <v>6</v>
      </c>
      <c r="Y34" s="27" t="s">
        <v>106</v>
      </c>
      <c r="Z34" s="27" t="s">
        <v>135</v>
      </c>
      <c r="AA34" s="1"/>
      <c r="AB34" s="1"/>
      <c r="AC34" s="1"/>
      <c r="AD34" s="1"/>
      <c r="AE34" s="1"/>
      <c r="AL34" s="20">
        <v>32</v>
      </c>
      <c r="AM34" s="23" t="s">
        <v>323</v>
      </c>
    </row>
    <row r="35" spans="1:39" s="30" customFormat="1" ht="17" x14ac:dyDescent="0.2">
      <c r="A35" s="27">
        <v>33</v>
      </c>
      <c r="B35" s="4" t="s">
        <v>400</v>
      </c>
      <c r="C35" s="4" t="s">
        <v>435</v>
      </c>
      <c r="D35" s="4" t="s">
        <v>289</v>
      </c>
      <c r="E35" s="155"/>
      <c r="U35" s="27">
        <v>33</v>
      </c>
      <c r="V35" s="27">
        <v>4</v>
      </c>
      <c r="W35" s="9" t="s">
        <v>141</v>
      </c>
      <c r="X35" s="9" t="s">
        <v>218</v>
      </c>
      <c r="Y35" s="27" t="s">
        <v>106</v>
      </c>
      <c r="Z35" s="27" t="s">
        <v>135</v>
      </c>
      <c r="AA35" s="1"/>
      <c r="AB35" s="1"/>
      <c r="AC35" s="1"/>
      <c r="AD35" s="1"/>
      <c r="AE35" s="1"/>
      <c r="AL35" s="20">
        <v>33</v>
      </c>
      <c r="AM35" s="23" t="s">
        <v>324</v>
      </c>
    </row>
    <row r="36" spans="1:39" s="30" customFormat="1" ht="17" x14ac:dyDescent="0.2">
      <c r="A36" s="27">
        <v>34</v>
      </c>
      <c r="B36" s="4" t="s">
        <v>400</v>
      </c>
      <c r="C36" s="4" t="s">
        <v>436</v>
      </c>
      <c r="D36" s="4" t="s">
        <v>290</v>
      </c>
      <c r="E36" s="155"/>
      <c r="U36" s="27">
        <v>34</v>
      </c>
      <c r="V36" s="27">
        <v>4</v>
      </c>
      <c r="W36" s="9" t="s">
        <v>141</v>
      </c>
      <c r="X36" s="9" t="s">
        <v>400</v>
      </c>
      <c r="Y36" s="27" t="s">
        <v>106</v>
      </c>
      <c r="Z36" s="27" t="s">
        <v>106</v>
      </c>
      <c r="AA36" s="1"/>
      <c r="AB36" s="1"/>
      <c r="AC36" s="1"/>
      <c r="AD36" s="1"/>
      <c r="AE36" s="1"/>
      <c r="AL36" s="20">
        <v>34</v>
      </c>
      <c r="AM36" s="23" t="s">
        <v>325</v>
      </c>
    </row>
    <row r="37" spans="1:39" s="30" customFormat="1" ht="17" x14ac:dyDescent="0.2">
      <c r="A37" s="27">
        <v>35</v>
      </c>
      <c r="B37" s="4" t="s">
        <v>400</v>
      </c>
      <c r="C37" s="4" t="s">
        <v>4</v>
      </c>
      <c r="D37" s="4" t="s">
        <v>373</v>
      </c>
      <c r="E37" s="155"/>
      <c r="U37" s="27">
        <v>35</v>
      </c>
      <c r="V37" s="27">
        <v>4</v>
      </c>
      <c r="W37" s="9" t="s">
        <v>141</v>
      </c>
      <c r="X37" s="9" t="s">
        <v>241</v>
      </c>
      <c r="Y37" s="27" t="s">
        <v>106</v>
      </c>
      <c r="Z37" s="27" t="s">
        <v>106</v>
      </c>
      <c r="AA37" s="1"/>
      <c r="AB37" s="1"/>
      <c r="AC37" s="1"/>
      <c r="AD37" s="1"/>
      <c r="AE37" s="1"/>
      <c r="AL37" s="20">
        <v>35</v>
      </c>
      <c r="AM37" s="23" t="s">
        <v>326</v>
      </c>
    </row>
    <row r="38" spans="1:39" s="30" customFormat="1" ht="17" x14ac:dyDescent="0.2">
      <c r="A38" s="27">
        <v>36</v>
      </c>
      <c r="B38" s="4" t="s">
        <v>400</v>
      </c>
      <c r="C38" s="4" t="s">
        <v>437</v>
      </c>
      <c r="D38" s="4" t="s">
        <v>374</v>
      </c>
      <c r="E38" s="155"/>
      <c r="U38" s="27">
        <v>36</v>
      </c>
      <c r="V38" s="27">
        <v>4</v>
      </c>
      <c r="W38" s="9" t="s">
        <v>141</v>
      </c>
      <c r="X38" s="9" t="s">
        <v>402</v>
      </c>
      <c r="Y38" s="27" t="s">
        <v>106</v>
      </c>
      <c r="Z38" s="27" t="s">
        <v>106</v>
      </c>
      <c r="AA38" s="1"/>
      <c r="AB38" s="1"/>
      <c r="AC38" s="1"/>
      <c r="AD38" s="1"/>
      <c r="AE38" s="1"/>
      <c r="AL38" s="20">
        <v>36</v>
      </c>
      <c r="AM38" s="23" t="s">
        <v>327</v>
      </c>
    </row>
    <row r="39" spans="1:39" ht="17" x14ac:dyDescent="0.2">
      <c r="A39" s="27">
        <v>37</v>
      </c>
      <c r="B39" s="4" t="s">
        <v>400</v>
      </c>
      <c r="C39" s="4" t="s">
        <v>438</v>
      </c>
      <c r="D39" s="4" t="s">
        <v>421</v>
      </c>
      <c r="E39" s="155"/>
      <c r="U39" s="27">
        <v>37</v>
      </c>
      <c r="V39" s="27">
        <v>4</v>
      </c>
      <c r="W39" s="9" t="s">
        <v>141</v>
      </c>
      <c r="X39" s="9" t="s">
        <v>233</v>
      </c>
      <c r="Y39" s="27" t="s">
        <v>106</v>
      </c>
      <c r="Z39" s="27" t="s">
        <v>106</v>
      </c>
    </row>
    <row r="40" spans="1:39" ht="17" x14ac:dyDescent="0.2">
      <c r="A40" s="27">
        <v>38</v>
      </c>
      <c r="B40" s="4" t="s">
        <v>30</v>
      </c>
      <c r="C40" s="4" t="s">
        <v>439</v>
      </c>
      <c r="D40" s="4" t="s">
        <v>291</v>
      </c>
      <c r="E40" s="155"/>
      <c r="U40" s="27">
        <v>38</v>
      </c>
      <c r="V40" s="27">
        <v>5</v>
      </c>
      <c r="W40" s="9" t="s">
        <v>148</v>
      </c>
      <c r="X40" s="9" t="s">
        <v>7</v>
      </c>
      <c r="Y40" s="27" t="s">
        <v>106</v>
      </c>
      <c r="Z40" s="27" t="s">
        <v>135</v>
      </c>
    </row>
    <row r="41" spans="1:39" ht="17" x14ac:dyDescent="0.2">
      <c r="A41" s="27">
        <v>39</v>
      </c>
      <c r="B41" s="4" t="s">
        <v>30</v>
      </c>
      <c r="C41" s="4" t="s">
        <v>440</v>
      </c>
      <c r="D41" s="4" t="s">
        <v>292</v>
      </c>
      <c r="E41" s="155"/>
      <c r="U41" s="27">
        <v>39</v>
      </c>
      <c r="V41" s="27">
        <v>5</v>
      </c>
      <c r="W41" s="9" t="s">
        <v>148</v>
      </c>
      <c r="X41" s="9" t="s">
        <v>242</v>
      </c>
      <c r="Y41" s="27" t="s">
        <v>106</v>
      </c>
      <c r="Z41" s="27" t="s">
        <v>135</v>
      </c>
    </row>
    <row r="42" spans="1:39" ht="17" x14ac:dyDescent="0.2">
      <c r="A42" s="30"/>
      <c r="B42" s="28"/>
      <c r="C42" s="28"/>
      <c r="D42" s="28"/>
      <c r="E42" s="13"/>
      <c r="U42" s="27">
        <v>40</v>
      </c>
      <c r="V42" s="27">
        <v>5</v>
      </c>
      <c r="W42" s="9" t="s">
        <v>148</v>
      </c>
      <c r="X42" s="9" t="s">
        <v>6</v>
      </c>
      <c r="Y42" s="27" t="s">
        <v>106</v>
      </c>
      <c r="Z42" s="27" t="s">
        <v>135</v>
      </c>
    </row>
    <row r="43" spans="1:39" ht="17" x14ac:dyDescent="0.2">
      <c r="A43" s="30"/>
      <c r="B43" s="28"/>
      <c r="C43" s="28"/>
      <c r="D43" s="28"/>
      <c r="E43" s="6"/>
      <c r="U43" s="27">
        <v>41</v>
      </c>
      <c r="V43" s="27">
        <v>5</v>
      </c>
      <c r="W43" s="9" t="s">
        <v>148</v>
      </c>
      <c r="X43" s="9" t="s">
        <v>218</v>
      </c>
      <c r="Y43" s="27" t="s">
        <v>106</v>
      </c>
      <c r="Z43" s="27" t="s">
        <v>135</v>
      </c>
    </row>
    <row r="44" spans="1:39" ht="17" x14ac:dyDescent="0.2">
      <c r="U44" s="27">
        <v>42</v>
      </c>
      <c r="V44" s="27">
        <v>5</v>
      </c>
      <c r="W44" s="9" t="s">
        <v>148</v>
      </c>
      <c r="X44" s="9" t="s">
        <v>400</v>
      </c>
      <c r="Y44" s="27" t="s">
        <v>106</v>
      </c>
      <c r="Z44" s="27" t="s">
        <v>106</v>
      </c>
    </row>
    <row r="45" spans="1:39" ht="17" x14ac:dyDescent="0.2">
      <c r="U45" s="27">
        <v>43</v>
      </c>
      <c r="V45" s="27">
        <v>5</v>
      </c>
      <c r="W45" s="9" t="s">
        <v>148</v>
      </c>
      <c r="X45" s="9" t="s">
        <v>241</v>
      </c>
      <c r="Y45" s="27" t="s">
        <v>106</v>
      </c>
      <c r="Z45" s="27" t="s">
        <v>106</v>
      </c>
    </row>
    <row r="46" spans="1:39" ht="17" x14ac:dyDescent="0.2">
      <c r="U46" s="27">
        <v>44</v>
      </c>
      <c r="V46" s="27">
        <v>5</v>
      </c>
      <c r="W46" s="9" t="s">
        <v>148</v>
      </c>
      <c r="X46" s="9" t="s">
        <v>402</v>
      </c>
      <c r="Y46" s="27" t="s">
        <v>106</v>
      </c>
      <c r="Z46" s="27" t="s">
        <v>135</v>
      </c>
    </row>
    <row r="47" spans="1:39" ht="17" x14ac:dyDescent="0.2">
      <c r="U47" s="27">
        <v>45</v>
      </c>
      <c r="V47" s="27">
        <v>5</v>
      </c>
      <c r="W47" s="9" t="s">
        <v>148</v>
      </c>
      <c r="X47" s="9" t="s">
        <v>233</v>
      </c>
      <c r="Y47" s="27" t="s">
        <v>106</v>
      </c>
      <c r="Z47" s="27" t="s">
        <v>106</v>
      </c>
    </row>
    <row r="48" spans="1:39" ht="17" x14ac:dyDescent="0.2">
      <c r="U48" s="27">
        <v>46</v>
      </c>
      <c r="V48" s="27">
        <v>6</v>
      </c>
      <c r="W48" s="9" t="s">
        <v>142</v>
      </c>
      <c r="X48" s="9" t="s">
        <v>242</v>
      </c>
      <c r="Y48" s="27" t="s">
        <v>106</v>
      </c>
      <c r="Z48" s="27" t="s">
        <v>106</v>
      </c>
    </row>
    <row r="49" spans="21:43" ht="17" x14ac:dyDescent="0.2">
      <c r="U49" s="27">
        <v>47</v>
      </c>
      <c r="V49" s="27">
        <v>6</v>
      </c>
      <c r="W49" s="9" t="s">
        <v>142</v>
      </c>
      <c r="X49" s="9" t="s">
        <v>6</v>
      </c>
      <c r="Y49" s="27" t="s">
        <v>106</v>
      </c>
      <c r="Z49" s="27" t="s">
        <v>106</v>
      </c>
    </row>
    <row r="50" spans="21:43" ht="17" x14ac:dyDescent="0.2">
      <c r="U50" s="27">
        <v>48</v>
      </c>
      <c r="V50" s="27">
        <v>6</v>
      </c>
      <c r="W50" s="9" t="s">
        <v>142</v>
      </c>
      <c r="X50" s="9" t="s">
        <v>218</v>
      </c>
      <c r="Y50" s="27" t="s">
        <v>106</v>
      </c>
      <c r="Z50" s="27" t="s">
        <v>106</v>
      </c>
    </row>
    <row r="51" spans="21:43" ht="17" x14ac:dyDescent="0.2">
      <c r="U51" s="27">
        <v>49</v>
      </c>
      <c r="V51" s="27">
        <v>6</v>
      </c>
      <c r="W51" s="9" t="s">
        <v>142</v>
      </c>
      <c r="X51" s="9" t="s">
        <v>400</v>
      </c>
      <c r="Y51" s="27" t="s">
        <v>106</v>
      </c>
      <c r="Z51" s="27" t="s">
        <v>106</v>
      </c>
    </row>
    <row r="52" spans="21:43" ht="17" x14ac:dyDescent="0.2">
      <c r="U52" s="27">
        <v>50</v>
      </c>
      <c r="V52" s="27">
        <v>6</v>
      </c>
      <c r="W52" s="9" t="s">
        <v>142</v>
      </c>
      <c r="X52" s="9" t="s">
        <v>233</v>
      </c>
      <c r="Y52" s="27" t="s">
        <v>106</v>
      </c>
      <c r="Z52" s="27" t="s">
        <v>106</v>
      </c>
    </row>
    <row r="53" spans="21:43" ht="17" x14ac:dyDescent="0.2">
      <c r="U53" s="27">
        <v>51</v>
      </c>
      <c r="V53" s="27">
        <v>7</v>
      </c>
      <c r="W53" s="9" t="s">
        <v>143</v>
      </c>
      <c r="X53" s="9" t="s">
        <v>242</v>
      </c>
      <c r="Y53" s="27" t="s">
        <v>106</v>
      </c>
      <c r="Z53" s="27" t="s">
        <v>135</v>
      </c>
    </row>
    <row r="54" spans="21:43" ht="17" x14ac:dyDescent="0.2">
      <c r="U54" s="27">
        <v>52</v>
      </c>
      <c r="V54" s="27">
        <v>7</v>
      </c>
      <c r="W54" s="9" t="s">
        <v>143</v>
      </c>
      <c r="X54" s="9" t="s">
        <v>6</v>
      </c>
      <c r="Y54" s="27" t="s">
        <v>106</v>
      </c>
      <c r="Z54" s="27" t="s">
        <v>106</v>
      </c>
    </row>
    <row r="55" spans="21:43" ht="17" x14ac:dyDescent="0.2">
      <c r="U55" s="27">
        <v>53</v>
      </c>
      <c r="V55" s="27">
        <v>7</v>
      </c>
      <c r="W55" s="9" t="s">
        <v>143</v>
      </c>
      <c r="X55" s="9" t="s">
        <v>218</v>
      </c>
      <c r="Y55" s="27" t="s">
        <v>106</v>
      </c>
      <c r="Z55" s="27" t="s">
        <v>106</v>
      </c>
    </row>
    <row r="56" spans="21:43" ht="17" x14ac:dyDescent="0.2">
      <c r="U56" s="27">
        <v>54</v>
      </c>
      <c r="V56" s="27">
        <v>7</v>
      </c>
      <c r="W56" s="9" t="s">
        <v>143</v>
      </c>
      <c r="X56" s="9" t="s">
        <v>400</v>
      </c>
      <c r="Y56" s="27" t="s">
        <v>106</v>
      </c>
      <c r="Z56" s="27" t="s">
        <v>135</v>
      </c>
    </row>
    <row r="57" spans="21:43" ht="17" x14ac:dyDescent="0.2">
      <c r="U57" s="27">
        <v>55</v>
      </c>
      <c r="V57" s="27">
        <v>7</v>
      </c>
      <c r="W57" s="9" t="s">
        <v>143</v>
      </c>
      <c r="X57" s="9" t="s">
        <v>233</v>
      </c>
      <c r="Y57" s="27" t="s">
        <v>106</v>
      </c>
      <c r="Z57" s="27" t="s">
        <v>106</v>
      </c>
    </row>
    <row r="58" spans="21:43" ht="17" x14ac:dyDescent="0.2">
      <c r="U58" s="27">
        <v>56</v>
      </c>
      <c r="V58" s="27">
        <v>8</v>
      </c>
      <c r="W58" s="9" t="s">
        <v>144</v>
      </c>
      <c r="X58" s="9" t="s">
        <v>6</v>
      </c>
      <c r="Y58" s="27" t="s">
        <v>106</v>
      </c>
      <c r="Z58" s="27" t="s">
        <v>106</v>
      </c>
    </row>
    <row r="59" spans="21:43" ht="17" x14ac:dyDescent="0.2">
      <c r="U59" s="27">
        <v>57</v>
      </c>
      <c r="V59" s="27">
        <v>8</v>
      </c>
      <c r="W59" s="9" t="s">
        <v>144</v>
      </c>
      <c r="X59" s="9" t="s">
        <v>218</v>
      </c>
      <c r="Y59" s="27" t="s">
        <v>106</v>
      </c>
      <c r="Z59" s="27" t="s">
        <v>106</v>
      </c>
    </row>
    <row r="60" spans="21:43" ht="17" x14ac:dyDescent="0.2">
      <c r="U60" s="27">
        <v>58</v>
      </c>
      <c r="V60" s="27">
        <v>8</v>
      </c>
      <c r="W60" s="9" t="s">
        <v>144</v>
      </c>
      <c r="X60" s="9" t="s">
        <v>233</v>
      </c>
      <c r="Y60" s="27" t="s">
        <v>106</v>
      </c>
      <c r="Z60" s="27" t="s">
        <v>135</v>
      </c>
    </row>
    <row r="61" spans="21:43" ht="17" x14ac:dyDescent="0.2">
      <c r="U61" s="27">
        <v>59</v>
      </c>
      <c r="V61" s="27">
        <v>9</v>
      </c>
      <c r="W61" s="9" t="s">
        <v>145</v>
      </c>
      <c r="X61" s="9" t="s">
        <v>5</v>
      </c>
      <c r="Y61" s="27" t="s">
        <v>106</v>
      </c>
      <c r="Z61" s="27" t="s">
        <v>106</v>
      </c>
    </row>
    <row r="62" spans="21:43" ht="17" x14ac:dyDescent="0.2">
      <c r="U62" s="27">
        <v>60</v>
      </c>
      <c r="V62" s="27">
        <v>10</v>
      </c>
      <c r="W62" s="9" t="s">
        <v>146</v>
      </c>
      <c r="X62" s="9" t="s">
        <v>218</v>
      </c>
      <c r="Y62" s="27" t="s">
        <v>106</v>
      </c>
      <c r="Z62" s="27" t="s">
        <v>135</v>
      </c>
    </row>
    <row r="63" spans="21:43" ht="17" x14ac:dyDescent="0.2">
      <c r="U63" s="27">
        <v>61</v>
      </c>
      <c r="V63" s="27">
        <v>10</v>
      </c>
      <c r="W63" s="9" t="s">
        <v>146</v>
      </c>
      <c r="X63" s="9" t="s">
        <v>400</v>
      </c>
      <c r="Y63" s="27" t="s">
        <v>106</v>
      </c>
      <c r="Z63" s="27" t="s">
        <v>106</v>
      </c>
    </row>
    <row r="64" spans="21:43" x14ac:dyDescent="0.2">
      <c r="AN64" s="28"/>
      <c r="AO64" s="28"/>
      <c r="AP64" s="28"/>
      <c r="AQ64" s="28"/>
    </row>
  </sheetData>
  <mergeCells count="11">
    <mergeCell ref="E33:E41"/>
    <mergeCell ref="A1:E1"/>
    <mergeCell ref="J1:L1"/>
    <mergeCell ref="E3:E10"/>
    <mergeCell ref="N1:S1"/>
    <mergeCell ref="G1:H1"/>
    <mergeCell ref="AB1:AD1"/>
    <mergeCell ref="U1:Z1"/>
    <mergeCell ref="AF1:AJ1"/>
    <mergeCell ref="AL1:AM1"/>
    <mergeCell ref="AO1:AP1"/>
  </mergeCells>
  <phoneticPr fontId="4" type="noConversion"/>
  <conditionalFormatting sqref="Y3:Z63">
    <cfRule type="expression" dxfId="1" priority="1" stopIfTrue="1">
      <formula>Y3="t"</formula>
    </cfRule>
    <cfRule type="expression" dxfId="0" priority="2" stopIfTrue="1">
      <formula>Y3="f"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F3C7-9B11-7B49-8912-6473ADD7B40D}">
  <dimension ref="A1:AC40"/>
  <sheetViews>
    <sheetView workbookViewId="0">
      <pane ySplit="2" topLeftCell="A3" activePane="bottomLeft" state="frozen"/>
      <selection pane="bottomLeft" activeCell="W30" sqref="W30"/>
    </sheetView>
  </sheetViews>
  <sheetFormatPr baseColWidth="10" defaultRowHeight="16" x14ac:dyDescent="0.2"/>
  <cols>
    <col min="1" max="1" width="2.83203125" style="24" bestFit="1" customWidth="1"/>
    <col min="2" max="2" width="4.83203125" style="24" customWidth="1"/>
    <col min="3" max="3" width="7" style="24" bestFit="1" customWidth="1"/>
    <col min="4" max="4" width="7" style="24" customWidth="1"/>
    <col min="5" max="5" width="10.83203125" style="24"/>
    <col min="6" max="6" width="3.33203125" style="24" bestFit="1" customWidth="1"/>
    <col min="7" max="7" width="7" style="24" bestFit="1" customWidth="1"/>
    <col min="8" max="8" width="8.6640625" style="24" bestFit="1" customWidth="1"/>
    <col min="9" max="9" width="6.6640625" style="24" bestFit="1" customWidth="1"/>
    <col min="10" max="10" width="9.1640625" style="24" bestFit="1" customWidth="1"/>
    <col min="11" max="11" width="6.33203125" style="24" bestFit="1" customWidth="1"/>
    <col min="12" max="12" width="7.83203125" style="24" bestFit="1" customWidth="1"/>
    <col min="13" max="13" width="4.1640625" style="24" bestFit="1" customWidth="1"/>
    <col min="14" max="14" width="12.6640625" style="24" bestFit="1" customWidth="1"/>
    <col min="15" max="15" width="10.5" style="24" bestFit="1" customWidth="1"/>
    <col min="16" max="16" width="8.5" style="24" bestFit="1" customWidth="1"/>
    <col min="17" max="17" width="8.83203125" style="24" bestFit="1" customWidth="1"/>
    <col min="18" max="19" width="10.5" style="24" bestFit="1" customWidth="1"/>
    <col min="20" max="20" width="7.1640625" style="24" bestFit="1" customWidth="1"/>
    <col min="21" max="21" width="10.83203125" style="24"/>
    <col min="22" max="22" width="14.5" style="24" bestFit="1" customWidth="1"/>
    <col min="23" max="23" width="9.6640625" style="24" bestFit="1" customWidth="1"/>
    <col min="24" max="24" width="8.5" style="24" bestFit="1" customWidth="1"/>
    <col min="25" max="25" width="8.5" style="24" customWidth="1"/>
    <col min="26" max="26" width="10.83203125" style="24"/>
    <col min="27" max="27" width="7.5" style="24" bestFit="1" customWidth="1"/>
    <col min="28" max="28" width="8" style="24" bestFit="1" customWidth="1"/>
    <col min="29" max="29" width="5.83203125" style="24" customWidth="1"/>
    <col min="30" max="16384" width="10.83203125" style="24"/>
  </cols>
  <sheetData>
    <row r="1" spans="1:29" ht="24" customHeight="1" x14ac:dyDescent="0.2">
      <c r="A1" s="161" t="s">
        <v>153</v>
      </c>
      <c r="B1" s="160"/>
      <c r="C1" s="160"/>
      <c r="D1" s="160"/>
      <c r="F1" s="160" t="s">
        <v>88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V1" s="161" t="s">
        <v>633</v>
      </c>
      <c r="W1" s="160"/>
      <c r="X1" s="160"/>
      <c r="Y1" s="160"/>
      <c r="AA1" s="154" t="s">
        <v>412</v>
      </c>
      <c r="AB1" s="154"/>
      <c r="AC1" s="154"/>
    </row>
    <row r="2" spans="1:29" ht="34" x14ac:dyDescent="0.2">
      <c r="A2" s="2" t="s">
        <v>73</v>
      </c>
      <c r="B2" s="2" t="s">
        <v>68</v>
      </c>
      <c r="C2" s="2" t="s">
        <v>339</v>
      </c>
      <c r="D2" s="2" t="s">
        <v>105</v>
      </c>
      <c r="F2" s="2" t="s">
        <v>73</v>
      </c>
      <c r="G2" s="2" t="s">
        <v>286</v>
      </c>
      <c r="H2" s="2" t="s">
        <v>298</v>
      </c>
      <c r="I2" s="2" t="s">
        <v>190</v>
      </c>
      <c r="J2" s="2" t="s">
        <v>195</v>
      </c>
      <c r="K2" s="2" t="s">
        <v>196</v>
      </c>
      <c r="L2" s="2" t="s">
        <v>197</v>
      </c>
      <c r="M2" s="2" t="s">
        <v>198</v>
      </c>
      <c r="N2" s="2" t="s">
        <v>199</v>
      </c>
      <c r="O2" s="2" t="s">
        <v>344</v>
      </c>
      <c r="P2" s="2" t="s">
        <v>200</v>
      </c>
      <c r="Q2" s="2" t="s">
        <v>342</v>
      </c>
      <c r="R2" s="2" t="s">
        <v>343</v>
      </c>
      <c r="S2" s="2" t="s">
        <v>239</v>
      </c>
      <c r="T2" s="2" t="s">
        <v>201</v>
      </c>
      <c r="V2" s="2" t="s">
        <v>81</v>
      </c>
      <c r="W2" s="2" t="s">
        <v>269</v>
      </c>
      <c r="X2" s="2" t="s">
        <v>229</v>
      </c>
      <c r="Y2" s="2" t="s">
        <v>72</v>
      </c>
      <c r="AA2" s="2" t="s">
        <v>423</v>
      </c>
      <c r="AB2" s="2" t="s">
        <v>506</v>
      </c>
      <c r="AC2" s="2" t="s">
        <v>507</v>
      </c>
    </row>
    <row r="3" spans="1:29" s="1" customFormat="1" ht="17" x14ac:dyDescent="0.2">
      <c r="A3" s="20">
        <v>1</v>
      </c>
      <c r="B3" s="20" t="s">
        <v>57</v>
      </c>
      <c r="C3" s="20" t="s">
        <v>106</v>
      </c>
      <c r="D3" s="20" t="s">
        <v>106</v>
      </c>
      <c r="F3" s="20">
        <v>1</v>
      </c>
      <c r="G3" s="20">
        <v>1</v>
      </c>
      <c r="H3" s="34">
        <v>46085</v>
      </c>
      <c r="I3" s="4" t="s">
        <v>202</v>
      </c>
      <c r="J3" s="4" t="s">
        <v>203</v>
      </c>
      <c r="K3" s="20">
        <v>12</v>
      </c>
      <c r="L3" s="4" t="s">
        <v>204</v>
      </c>
      <c r="M3" s="4" t="s">
        <v>205</v>
      </c>
      <c r="N3" s="4" t="s">
        <v>211</v>
      </c>
      <c r="O3" s="34">
        <v>46086</v>
      </c>
      <c r="P3" s="34">
        <f>O3+15</f>
        <v>46101</v>
      </c>
      <c r="Q3" s="20">
        <v>9</v>
      </c>
      <c r="R3" s="20"/>
      <c r="S3" s="20"/>
      <c r="T3" s="20">
        <v>2</v>
      </c>
      <c r="V3" s="4" t="s">
        <v>346</v>
      </c>
      <c r="W3" s="4" t="s">
        <v>6</v>
      </c>
      <c r="X3" s="20" t="s">
        <v>106</v>
      </c>
      <c r="Y3" s="4" t="s">
        <v>68</v>
      </c>
      <c r="AA3" s="20">
        <v>5</v>
      </c>
      <c r="AB3" s="20">
        <v>9</v>
      </c>
      <c r="AC3" s="20">
        <v>13</v>
      </c>
    </row>
    <row r="4" spans="1:29" s="1" customFormat="1" ht="17" x14ac:dyDescent="0.2">
      <c r="F4" s="20">
        <v>2</v>
      </c>
      <c r="G4" s="20">
        <v>1</v>
      </c>
      <c r="H4" s="34">
        <v>46087</v>
      </c>
      <c r="I4" s="4" t="s">
        <v>206</v>
      </c>
      <c r="J4" s="4" t="s">
        <v>207</v>
      </c>
      <c r="K4" s="20">
        <v>18</v>
      </c>
      <c r="L4" s="4" t="s">
        <v>208</v>
      </c>
      <c r="M4" s="4" t="s">
        <v>209</v>
      </c>
      <c r="N4" s="4" t="s">
        <v>210</v>
      </c>
      <c r="O4" s="20"/>
      <c r="P4" s="20"/>
      <c r="Q4" s="20">
        <v>10</v>
      </c>
      <c r="R4" s="20"/>
      <c r="S4" s="20"/>
      <c r="T4" s="20">
        <v>1</v>
      </c>
      <c r="V4" s="4" t="s">
        <v>347</v>
      </c>
      <c r="W4" s="4" t="s">
        <v>218</v>
      </c>
      <c r="X4" s="20" t="s">
        <v>106</v>
      </c>
      <c r="Y4" s="4" t="s">
        <v>481</v>
      </c>
      <c r="AA4" s="20">
        <v>5</v>
      </c>
      <c r="AB4" s="20">
        <v>9</v>
      </c>
      <c r="AC4" s="20">
        <v>18</v>
      </c>
    </row>
    <row r="5" spans="1:29" s="1" customFormat="1" ht="17" x14ac:dyDescent="0.2">
      <c r="C5" s="162" t="s">
        <v>468</v>
      </c>
      <c r="D5" s="162"/>
      <c r="F5" s="20">
        <v>3</v>
      </c>
      <c r="G5" s="20">
        <v>1</v>
      </c>
      <c r="H5" s="34">
        <v>46087</v>
      </c>
      <c r="I5" s="4" t="s">
        <v>213</v>
      </c>
      <c r="J5" s="4" t="s">
        <v>214</v>
      </c>
      <c r="K5" s="20">
        <v>21</v>
      </c>
      <c r="L5" s="4" t="s">
        <v>215</v>
      </c>
      <c r="M5" s="4" t="s">
        <v>205</v>
      </c>
      <c r="N5" s="4" t="s">
        <v>216</v>
      </c>
      <c r="O5" s="34">
        <v>46087</v>
      </c>
      <c r="P5" s="34">
        <f>O5+21</f>
        <v>46108</v>
      </c>
      <c r="Q5" s="20">
        <v>19</v>
      </c>
      <c r="R5" s="34">
        <v>46095</v>
      </c>
      <c r="S5" s="20">
        <v>21</v>
      </c>
      <c r="T5" s="20">
        <v>5</v>
      </c>
      <c r="V5" s="4" t="s">
        <v>348</v>
      </c>
      <c r="W5" s="4" t="s">
        <v>218</v>
      </c>
      <c r="X5" s="20" t="s">
        <v>106</v>
      </c>
      <c r="Y5" s="4" t="s">
        <v>481</v>
      </c>
      <c r="AA5" s="20">
        <v>5</v>
      </c>
      <c r="AB5" s="20">
        <v>13</v>
      </c>
      <c r="AC5" s="20">
        <v>10</v>
      </c>
    </row>
    <row r="6" spans="1:29" s="1" customFormat="1" ht="17" x14ac:dyDescent="0.2">
      <c r="C6" s="162"/>
      <c r="D6" s="162"/>
      <c r="F6" s="32" t="s">
        <v>82</v>
      </c>
      <c r="G6" s="32"/>
      <c r="H6" s="20" t="s">
        <v>83</v>
      </c>
      <c r="I6" s="20" t="s">
        <v>83</v>
      </c>
      <c r="J6" s="20" t="s">
        <v>83</v>
      </c>
      <c r="K6" s="20" t="s">
        <v>83</v>
      </c>
      <c r="L6" s="20" t="s">
        <v>83</v>
      </c>
      <c r="M6" s="20" t="s">
        <v>83</v>
      </c>
      <c r="N6" s="20" t="s">
        <v>83</v>
      </c>
      <c r="O6" s="20" t="s">
        <v>83</v>
      </c>
      <c r="P6" s="20" t="s">
        <v>178</v>
      </c>
      <c r="Q6" s="20" t="s">
        <v>107</v>
      </c>
      <c r="R6" s="20" t="s">
        <v>83</v>
      </c>
      <c r="S6" s="20" t="s">
        <v>83</v>
      </c>
      <c r="T6" s="20" t="s">
        <v>178</v>
      </c>
      <c r="V6" s="4" t="s">
        <v>350</v>
      </c>
      <c r="W6" s="4" t="s">
        <v>218</v>
      </c>
      <c r="X6" s="20" t="s">
        <v>135</v>
      </c>
      <c r="Y6" s="4" t="s">
        <v>481</v>
      </c>
      <c r="AA6" s="20">
        <v>5</v>
      </c>
      <c r="AB6" s="20">
        <v>13</v>
      </c>
      <c r="AC6" s="20">
        <v>18</v>
      </c>
    </row>
    <row r="7" spans="1:29" ht="17" x14ac:dyDescent="0.2">
      <c r="C7" s="162"/>
      <c r="D7" s="162"/>
      <c r="V7" s="4" t="s">
        <v>351</v>
      </c>
      <c r="W7" s="4" t="s">
        <v>218</v>
      </c>
      <c r="X7" s="20" t="s">
        <v>106</v>
      </c>
      <c r="Y7" s="4" t="s">
        <v>481</v>
      </c>
      <c r="AA7" s="21">
        <v>5</v>
      </c>
      <c r="AB7" s="21">
        <v>18</v>
      </c>
      <c r="AC7" s="21">
        <v>10</v>
      </c>
    </row>
    <row r="8" spans="1:29" ht="17" x14ac:dyDescent="0.2">
      <c r="F8" s="159" t="s">
        <v>448</v>
      </c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V8" s="4" t="s">
        <v>352</v>
      </c>
      <c r="W8" s="4" t="s">
        <v>218</v>
      </c>
      <c r="X8" s="20" t="s">
        <v>135</v>
      </c>
      <c r="Y8" s="4" t="s">
        <v>481</v>
      </c>
      <c r="AA8" s="21">
        <v>1</v>
      </c>
      <c r="AB8" s="21">
        <v>21</v>
      </c>
      <c r="AC8" s="21">
        <v>26</v>
      </c>
    </row>
    <row r="9" spans="1:29" ht="17" x14ac:dyDescent="0.2"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V9" s="4" t="s">
        <v>349</v>
      </c>
      <c r="W9" s="4" t="s">
        <v>218</v>
      </c>
      <c r="X9" s="20" t="s">
        <v>106</v>
      </c>
      <c r="Y9" s="4" t="s">
        <v>500</v>
      </c>
    </row>
    <row r="10" spans="1:29" ht="17" x14ac:dyDescent="0.2">
      <c r="F10" s="159" t="s">
        <v>449</v>
      </c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V10" s="4" t="s">
        <v>353</v>
      </c>
      <c r="W10" s="4" t="s">
        <v>6</v>
      </c>
      <c r="X10" s="20" t="s">
        <v>106</v>
      </c>
      <c r="Y10" s="4" t="s">
        <v>68</v>
      </c>
    </row>
    <row r="11" spans="1:29" ht="17" x14ac:dyDescent="0.2">
      <c r="F11" s="159" t="s">
        <v>450</v>
      </c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V11" s="4" t="s">
        <v>354</v>
      </c>
      <c r="W11" s="4" t="s">
        <v>6</v>
      </c>
      <c r="X11" s="20" t="s">
        <v>106</v>
      </c>
      <c r="Y11" s="4" t="s">
        <v>68</v>
      </c>
    </row>
    <row r="12" spans="1:29" ht="17" x14ac:dyDescent="0.2">
      <c r="F12" s="159" t="s">
        <v>452</v>
      </c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V12" s="4" t="s">
        <v>355</v>
      </c>
      <c r="W12" s="4" t="s">
        <v>6</v>
      </c>
      <c r="X12" s="20" t="s">
        <v>106</v>
      </c>
      <c r="Y12" s="4" t="s">
        <v>482</v>
      </c>
    </row>
    <row r="13" spans="1:29" ht="17" x14ac:dyDescent="0.2">
      <c r="F13" s="159" t="s">
        <v>451</v>
      </c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V13" s="4" t="s">
        <v>547</v>
      </c>
      <c r="W13" s="4" t="s">
        <v>6</v>
      </c>
      <c r="X13" s="20" t="s">
        <v>106</v>
      </c>
      <c r="Y13" s="4" t="s">
        <v>481</v>
      </c>
    </row>
    <row r="14" spans="1:29" ht="17" x14ac:dyDescent="0.2"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V14" s="4" t="s">
        <v>357</v>
      </c>
      <c r="W14" s="4" t="s">
        <v>6</v>
      </c>
      <c r="X14" s="20" t="s">
        <v>135</v>
      </c>
      <c r="Y14" s="4" t="s">
        <v>68</v>
      </c>
    </row>
    <row r="15" spans="1:29" ht="17" customHeight="1" x14ac:dyDescent="0.2">
      <c r="F15" s="159" t="s">
        <v>453</v>
      </c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V15" s="4" t="s">
        <v>358</v>
      </c>
      <c r="W15" s="4" t="s">
        <v>6</v>
      </c>
      <c r="X15" s="20" t="s">
        <v>135</v>
      </c>
      <c r="Y15" s="4" t="s">
        <v>482</v>
      </c>
    </row>
    <row r="16" spans="1:29" ht="17" x14ac:dyDescent="0.2"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V16" s="4" t="s">
        <v>360</v>
      </c>
      <c r="W16" s="4" t="s">
        <v>400</v>
      </c>
      <c r="X16" s="20" t="s">
        <v>135</v>
      </c>
      <c r="Y16" s="4" t="s">
        <v>501</v>
      </c>
    </row>
    <row r="17" spans="6:25" ht="17" x14ac:dyDescent="0.2">
      <c r="F17" s="159" t="s">
        <v>454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V17" s="4" t="s">
        <v>361</v>
      </c>
      <c r="W17" s="4" t="s">
        <v>400</v>
      </c>
      <c r="X17" s="20" t="s">
        <v>106</v>
      </c>
      <c r="Y17" s="4" t="s">
        <v>501</v>
      </c>
    </row>
    <row r="18" spans="6:25" ht="17" x14ac:dyDescent="0.2"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V18" s="4" t="s">
        <v>362</v>
      </c>
      <c r="W18" s="4" t="s">
        <v>400</v>
      </c>
      <c r="X18" s="20" t="s">
        <v>106</v>
      </c>
      <c r="Y18" s="4" t="s">
        <v>501</v>
      </c>
    </row>
    <row r="19" spans="6:25" ht="17" x14ac:dyDescent="0.2">
      <c r="F19" s="159" t="s">
        <v>455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V19" s="4" t="s">
        <v>363</v>
      </c>
      <c r="W19" s="4" t="s">
        <v>400</v>
      </c>
      <c r="X19" s="20" t="s">
        <v>106</v>
      </c>
      <c r="Y19" s="4" t="s">
        <v>501</v>
      </c>
    </row>
    <row r="20" spans="6:25" ht="17" x14ac:dyDescent="0.2"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V20" s="4" t="s">
        <v>364</v>
      </c>
      <c r="W20" s="4" t="s">
        <v>241</v>
      </c>
      <c r="X20" s="20" t="s">
        <v>135</v>
      </c>
      <c r="Y20" s="4" t="s">
        <v>481</v>
      </c>
    </row>
    <row r="21" spans="6:25" ht="17" customHeight="1" x14ac:dyDescent="0.2">
      <c r="F21" s="159" t="s">
        <v>521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V21" s="4" t="s">
        <v>365</v>
      </c>
      <c r="W21" s="4" t="s">
        <v>241</v>
      </c>
      <c r="X21" s="20" t="s">
        <v>106</v>
      </c>
      <c r="Y21" s="4" t="s">
        <v>482</v>
      </c>
    </row>
    <row r="22" spans="6:25" ht="17" customHeight="1" x14ac:dyDescent="0.2"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V22" s="4" t="s">
        <v>366</v>
      </c>
      <c r="W22" s="4" t="s">
        <v>241</v>
      </c>
      <c r="X22" s="20" t="s">
        <v>135</v>
      </c>
      <c r="Y22" s="4" t="s">
        <v>481</v>
      </c>
    </row>
    <row r="23" spans="6:25" ht="17" x14ac:dyDescent="0.2">
      <c r="F23" s="159" t="s">
        <v>523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V23" s="4" t="s">
        <v>367</v>
      </c>
      <c r="W23" s="4" t="s">
        <v>241</v>
      </c>
      <c r="X23" s="20" t="s">
        <v>106</v>
      </c>
      <c r="Y23" s="4" t="s">
        <v>482</v>
      </c>
    </row>
    <row r="24" spans="6:25" x14ac:dyDescent="0.2"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</row>
    <row r="25" spans="6:25" x14ac:dyDescent="0.2">
      <c r="F25" s="159" t="s">
        <v>524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</row>
    <row r="26" spans="6:25" x14ac:dyDescent="0.2"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</row>
    <row r="27" spans="6:25" x14ac:dyDescent="0.2"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</row>
    <row r="28" spans="6:25" ht="16" customHeight="1" x14ac:dyDescent="0.2"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</row>
    <row r="29" spans="6:25" x14ac:dyDescent="0.2"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</row>
    <row r="30" spans="6:25" x14ac:dyDescent="0.2"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</row>
    <row r="36" spans="6:20" x14ac:dyDescent="0.2"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6:20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6:20" x14ac:dyDescent="0.2"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6:20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6:20" x14ac:dyDescent="0.2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</sheetData>
  <mergeCells count="28">
    <mergeCell ref="AA1:AC1"/>
    <mergeCell ref="F1:T1"/>
    <mergeCell ref="F8:T8"/>
    <mergeCell ref="A1:D1"/>
    <mergeCell ref="C5:D7"/>
    <mergeCell ref="V1:Y1"/>
    <mergeCell ref="F14:T14"/>
    <mergeCell ref="F9:T9"/>
    <mergeCell ref="F10:T10"/>
    <mergeCell ref="F11:T11"/>
    <mergeCell ref="F12:T12"/>
    <mergeCell ref="F13:T13"/>
    <mergeCell ref="F27:T27"/>
    <mergeCell ref="F28:T28"/>
    <mergeCell ref="F29:T29"/>
    <mergeCell ref="F30:T30"/>
    <mergeCell ref="F15:T15"/>
    <mergeCell ref="F16:T16"/>
    <mergeCell ref="F17:T17"/>
    <mergeCell ref="F20:T20"/>
    <mergeCell ref="F21:T21"/>
    <mergeCell ref="F22:T22"/>
    <mergeCell ref="F23:T23"/>
    <mergeCell ref="F19:T19"/>
    <mergeCell ref="F18:T18"/>
    <mergeCell ref="F24:T24"/>
    <mergeCell ref="F25:T25"/>
    <mergeCell ref="F26:T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1570-1E21-7846-92CE-90FF4A19AA9F}">
  <dimension ref="A1:AH36"/>
  <sheetViews>
    <sheetView workbookViewId="0">
      <pane ySplit="2" topLeftCell="A3" activePane="bottomLeft" state="frozen"/>
      <selection pane="bottomLeft" activeCell="AA2" sqref="AA2"/>
    </sheetView>
  </sheetViews>
  <sheetFormatPr baseColWidth="10" defaultRowHeight="16" x14ac:dyDescent="0.2"/>
  <cols>
    <col min="1" max="1" width="2.83203125" style="24" bestFit="1" customWidth="1"/>
    <col min="2" max="2" width="8.1640625" style="24" customWidth="1"/>
    <col min="3" max="3" width="7" style="24" bestFit="1" customWidth="1"/>
    <col min="4" max="4" width="7" style="24" customWidth="1"/>
    <col min="5" max="5" width="10.83203125" style="24"/>
    <col min="6" max="6" width="2.83203125" style="24" bestFit="1" customWidth="1"/>
    <col min="7" max="7" width="9.1640625" style="24" bestFit="1" customWidth="1"/>
    <col min="8" max="8" width="10.83203125" style="24"/>
    <col min="9" max="9" width="3.33203125" style="24" bestFit="1" customWidth="1"/>
    <col min="10" max="10" width="7" style="24" bestFit="1" customWidth="1"/>
    <col min="11" max="11" width="8.6640625" style="24" bestFit="1" customWidth="1"/>
    <col min="12" max="12" width="8.33203125" style="24" customWidth="1"/>
    <col min="13" max="13" width="9.1640625" style="24" bestFit="1" customWidth="1"/>
    <col min="14" max="14" width="6.33203125" style="24" bestFit="1" customWidth="1"/>
    <col min="15" max="15" width="7.83203125" style="24" bestFit="1" customWidth="1"/>
    <col min="16" max="16" width="4.83203125" style="24" customWidth="1"/>
    <col min="17" max="17" width="14.5" style="24" customWidth="1"/>
    <col min="18" max="18" width="10.5" style="24" bestFit="1" customWidth="1"/>
    <col min="19" max="19" width="8.83203125" style="24" bestFit="1" customWidth="1"/>
    <col min="20" max="20" width="9.6640625" style="24" customWidth="1"/>
    <col min="21" max="21" width="8.33203125" style="24" bestFit="1" customWidth="1"/>
    <col min="22" max="22" width="10.5" style="24" bestFit="1" customWidth="1"/>
    <col min="23" max="23" width="6.6640625" style="24" customWidth="1"/>
    <col min="24" max="24" width="10.33203125" style="24" bestFit="1" customWidth="1"/>
    <col min="25" max="25" width="7.1640625" style="24" customWidth="1"/>
    <col min="26" max="26" width="10.83203125" style="24"/>
    <col min="27" max="27" width="15" style="24" customWidth="1"/>
    <col min="28" max="28" width="9.6640625" style="24" bestFit="1" customWidth="1"/>
    <col min="29" max="29" width="8.5" style="24" bestFit="1" customWidth="1"/>
    <col min="30" max="30" width="8.5" style="24" customWidth="1"/>
    <col min="31" max="31" width="10.83203125" style="24"/>
    <col min="32" max="32" width="7.5" style="24" bestFit="1" customWidth="1"/>
    <col min="33" max="33" width="9.33203125" style="24" bestFit="1" customWidth="1"/>
    <col min="34" max="34" width="6.83203125" style="24" bestFit="1" customWidth="1"/>
    <col min="35" max="16384" width="10.83203125" style="24"/>
  </cols>
  <sheetData>
    <row r="1" spans="1:34" ht="24" customHeight="1" x14ac:dyDescent="0.2">
      <c r="A1" s="161" t="s">
        <v>153</v>
      </c>
      <c r="B1" s="160"/>
      <c r="C1" s="160"/>
      <c r="D1" s="160"/>
      <c r="F1" s="154" t="s">
        <v>503</v>
      </c>
      <c r="G1" s="154"/>
      <c r="I1" s="160" t="s">
        <v>88</v>
      </c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AA1" s="164" t="s">
        <v>633</v>
      </c>
      <c r="AB1" s="152"/>
      <c r="AC1" s="152"/>
      <c r="AD1" s="152"/>
      <c r="AF1" s="152" t="s">
        <v>412</v>
      </c>
      <c r="AG1" s="152"/>
      <c r="AH1" s="163"/>
    </row>
    <row r="2" spans="1:34" ht="34" x14ac:dyDescent="0.2">
      <c r="A2" s="2" t="s">
        <v>73</v>
      </c>
      <c r="B2" s="2" t="s">
        <v>68</v>
      </c>
      <c r="C2" s="2" t="s">
        <v>339</v>
      </c>
      <c r="D2" s="2" t="s">
        <v>105</v>
      </c>
      <c r="F2" s="2" t="s">
        <v>73</v>
      </c>
      <c r="G2" s="2" t="s">
        <v>504</v>
      </c>
      <c r="I2" s="2" t="s">
        <v>73</v>
      </c>
      <c r="J2" s="2" t="s">
        <v>286</v>
      </c>
      <c r="K2" s="2" t="s">
        <v>298</v>
      </c>
      <c r="L2" s="2" t="s">
        <v>190</v>
      </c>
      <c r="M2" s="2" t="s">
        <v>195</v>
      </c>
      <c r="N2" s="2" t="s">
        <v>196</v>
      </c>
      <c r="O2" s="2" t="s">
        <v>197</v>
      </c>
      <c r="P2" s="2" t="s">
        <v>299</v>
      </c>
      <c r="Q2" s="2" t="s">
        <v>199</v>
      </c>
      <c r="R2" s="2" t="s">
        <v>344</v>
      </c>
      <c r="S2" s="2" t="s">
        <v>212</v>
      </c>
      <c r="T2" s="2" t="s">
        <v>368</v>
      </c>
      <c r="U2" s="2" t="s">
        <v>502</v>
      </c>
      <c r="V2" s="2" t="s">
        <v>369</v>
      </c>
      <c r="W2" s="2" t="s">
        <v>457</v>
      </c>
      <c r="X2" s="2" t="s">
        <v>508</v>
      </c>
      <c r="Y2" s="2" t="s">
        <v>201</v>
      </c>
      <c r="AA2" s="2" t="s">
        <v>504</v>
      </c>
      <c r="AB2" s="2" t="s">
        <v>269</v>
      </c>
      <c r="AC2" s="2" t="s">
        <v>229</v>
      </c>
      <c r="AD2" s="2" t="s">
        <v>72</v>
      </c>
      <c r="AF2" s="2" t="s">
        <v>423</v>
      </c>
      <c r="AG2" s="2" t="s">
        <v>506</v>
      </c>
      <c r="AH2" s="2" t="s">
        <v>507</v>
      </c>
    </row>
    <row r="3" spans="1:34" s="1" customFormat="1" ht="17" x14ac:dyDescent="0.2">
      <c r="A3" s="20">
        <v>1</v>
      </c>
      <c r="B3" s="20" t="s">
        <v>57</v>
      </c>
      <c r="C3" s="20" t="s">
        <v>106</v>
      </c>
      <c r="D3" s="20" t="s">
        <v>106</v>
      </c>
      <c r="F3" s="20">
        <v>1</v>
      </c>
      <c r="G3" s="4" t="s">
        <v>505</v>
      </c>
      <c r="I3" s="20">
        <v>1</v>
      </c>
      <c r="J3" s="20">
        <v>1</v>
      </c>
      <c r="K3" s="34">
        <v>46085</v>
      </c>
      <c r="L3" s="4" t="s">
        <v>235</v>
      </c>
      <c r="M3" s="4" t="s">
        <v>203</v>
      </c>
      <c r="N3" s="20">
        <v>12</v>
      </c>
      <c r="O3" s="4" t="s">
        <v>204</v>
      </c>
      <c r="P3" s="20">
        <v>2</v>
      </c>
      <c r="Q3" s="4" t="s">
        <v>211</v>
      </c>
      <c r="R3" s="34">
        <v>46086</v>
      </c>
      <c r="S3" s="20">
        <v>19</v>
      </c>
      <c r="T3" s="34">
        <v>46089</v>
      </c>
      <c r="U3" s="40">
        <v>1</v>
      </c>
      <c r="V3" s="34"/>
      <c r="W3" s="20" t="s">
        <v>57</v>
      </c>
      <c r="X3" s="20">
        <v>26</v>
      </c>
      <c r="Y3" s="20">
        <v>3</v>
      </c>
      <c r="AA3" s="4" t="s">
        <v>346</v>
      </c>
      <c r="AB3" s="4" t="s">
        <v>6</v>
      </c>
      <c r="AC3" s="20" t="s">
        <v>106</v>
      </c>
      <c r="AD3" s="4" t="s">
        <v>68</v>
      </c>
      <c r="AF3" s="20">
        <v>5</v>
      </c>
      <c r="AG3" s="20">
        <v>9</v>
      </c>
      <c r="AH3" s="20">
        <v>13</v>
      </c>
    </row>
    <row r="4" spans="1:34" s="1" customFormat="1" ht="17" x14ac:dyDescent="0.2">
      <c r="A4" s="20">
        <v>2</v>
      </c>
      <c r="B4" s="34">
        <v>46082</v>
      </c>
      <c r="C4" s="20" t="s">
        <v>135</v>
      </c>
      <c r="D4" s="20" t="s">
        <v>106</v>
      </c>
      <c r="F4" s="20">
        <v>2</v>
      </c>
      <c r="G4" s="4" t="s">
        <v>238</v>
      </c>
      <c r="I4" s="20">
        <v>2</v>
      </c>
      <c r="J4" s="20">
        <v>2</v>
      </c>
      <c r="K4" s="34">
        <v>46087</v>
      </c>
      <c r="L4" s="4" t="s">
        <v>236</v>
      </c>
      <c r="M4" s="4" t="s">
        <v>207</v>
      </c>
      <c r="N4" s="20">
        <v>18</v>
      </c>
      <c r="O4" s="4" t="s">
        <v>208</v>
      </c>
      <c r="P4" s="20">
        <v>22</v>
      </c>
      <c r="Q4" s="4" t="s">
        <v>210</v>
      </c>
      <c r="R4" s="34">
        <v>46087</v>
      </c>
      <c r="S4" s="20">
        <v>19</v>
      </c>
      <c r="T4" s="34">
        <v>46088</v>
      </c>
      <c r="U4" s="40">
        <v>2</v>
      </c>
      <c r="V4" s="34">
        <v>46092</v>
      </c>
      <c r="W4" s="11">
        <v>10000</v>
      </c>
      <c r="X4" s="20">
        <v>26</v>
      </c>
      <c r="Y4" s="20">
        <v>1</v>
      </c>
      <c r="AA4" s="4" t="s">
        <v>347</v>
      </c>
      <c r="AB4" s="4" t="s">
        <v>218</v>
      </c>
      <c r="AC4" s="20" t="s">
        <v>106</v>
      </c>
      <c r="AD4" s="4" t="s">
        <v>481</v>
      </c>
      <c r="AF4" s="20">
        <v>5</v>
      </c>
      <c r="AG4" s="20">
        <v>9</v>
      </c>
      <c r="AH4" s="20">
        <v>18</v>
      </c>
    </row>
    <row r="5" spans="1:34" s="1" customFormat="1" ht="17" x14ac:dyDescent="0.2">
      <c r="I5" s="20">
        <v>3</v>
      </c>
      <c r="J5" s="20">
        <v>2</v>
      </c>
      <c r="K5" s="34">
        <v>46087</v>
      </c>
      <c r="L5" s="4" t="s">
        <v>237</v>
      </c>
      <c r="M5" s="4" t="s">
        <v>214</v>
      </c>
      <c r="N5" s="20">
        <v>21</v>
      </c>
      <c r="O5" s="4" t="s">
        <v>215</v>
      </c>
      <c r="P5" s="20">
        <v>4</v>
      </c>
      <c r="Q5" s="4" t="s">
        <v>216</v>
      </c>
      <c r="R5" s="34"/>
      <c r="S5" s="20">
        <v>9</v>
      </c>
      <c r="T5" s="34"/>
      <c r="U5" s="40"/>
      <c r="V5" s="34"/>
      <c r="W5" s="34"/>
      <c r="X5" s="34"/>
      <c r="Y5" s="20">
        <v>5</v>
      </c>
      <c r="AA5" s="4" t="s">
        <v>348</v>
      </c>
      <c r="AB5" s="4" t="s">
        <v>218</v>
      </c>
      <c r="AC5" s="20" t="s">
        <v>106</v>
      </c>
      <c r="AD5" s="4" t="s">
        <v>481</v>
      </c>
      <c r="AF5" s="20">
        <v>5</v>
      </c>
      <c r="AG5" s="20">
        <v>13</v>
      </c>
      <c r="AH5" s="20">
        <v>10</v>
      </c>
    </row>
    <row r="6" spans="1:34" s="1" customFormat="1" ht="17" x14ac:dyDescent="0.2">
      <c r="C6" s="162" t="s">
        <v>468</v>
      </c>
      <c r="D6" s="162"/>
      <c r="I6" s="32" t="s">
        <v>82</v>
      </c>
      <c r="J6" s="32"/>
      <c r="K6" s="20" t="s">
        <v>83</v>
      </c>
      <c r="L6" s="20" t="s">
        <v>83</v>
      </c>
      <c r="M6" s="20" t="s">
        <v>83</v>
      </c>
      <c r="N6" s="20" t="s">
        <v>83</v>
      </c>
      <c r="O6" s="20" t="s">
        <v>83</v>
      </c>
      <c r="P6" s="20" t="s">
        <v>83</v>
      </c>
      <c r="Q6" s="20" t="s">
        <v>83</v>
      </c>
      <c r="R6" s="20" t="s">
        <v>83</v>
      </c>
      <c r="S6" s="20" t="s">
        <v>107</v>
      </c>
      <c r="T6" s="20"/>
      <c r="U6" s="20"/>
      <c r="V6" s="20" t="s">
        <v>83</v>
      </c>
      <c r="W6" s="20"/>
      <c r="X6" s="20"/>
      <c r="Y6" s="20" t="s">
        <v>178</v>
      </c>
      <c r="AA6" s="4" t="s">
        <v>349</v>
      </c>
      <c r="AB6" s="4" t="s">
        <v>218</v>
      </c>
      <c r="AC6" s="20" t="s">
        <v>106</v>
      </c>
      <c r="AD6" s="4" t="s">
        <v>500</v>
      </c>
      <c r="AF6" s="20">
        <v>5</v>
      </c>
      <c r="AG6" s="20">
        <v>13</v>
      </c>
      <c r="AH6" s="20">
        <v>18</v>
      </c>
    </row>
    <row r="7" spans="1:34" ht="17" x14ac:dyDescent="0.2">
      <c r="C7" s="162"/>
      <c r="D7" s="162"/>
      <c r="AA7" s="4" t="s">
        <v>350</v>
      </c>
      <c r="AB7" s="4" t="s">
        <v>218</v>
      </c>
      <c r="AC7" s="20" t="s">
        <v>135</v>
      </c>
      <c r="AD7" s="4" t="s">
        <v>481</v>
      </c>
      <c r="AF7" s="21">
        <v>5</v>
      </c>
      <c r="AG7" s="21">
        <v>18</v>
      </c>
      <c r="AH7" s="21">
        <v>10</v>
      </c>
    </row>
    <row r="8" spans="1:34" ht="17" customHeight="1" x14ac:dyDescent="0.2">
      <c r="C8" s="162"/>
      <c r="D8" s="162"/>
      <c r="I8" s="159" t="s">
        <v>448</v>
      </c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AA8" s="4" t="s">
        <v>370</v>
      </c>
      <c r="AB8" s="4" t="s">
        <v>218</v>
      </c>
      <c r="AC8" s="20" t="s">
        <v>106</v>
      </c>
      <c r="AD8" s="4" t="s">
        <v>481</v>
      </c>
      <c r="AF8" s="21">
        <v>1</v>
      </c>
      <c r="AG8" s="21">
        <v>21</v>
      </c>
      <c r="AH8" s="21">
        <v>26</v>
      </c>
    </row>
    <row r="9" spans="1:34" ht="17" customHeight="1" x14ac:dyDescent="0.2">
      <c r="I9" s="159" t="s">
        <v>456</v>
      </c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AA9" s="4" t="s">
        <v>352</v>
      </c>
      <c r="AB9" s="4" t="s">
        <v>218</v>
      </c>
      <c r="AC9" s="20" t="s">
        <v>135</v>
      </c>
      <c r="AD9" s="4" t="s">
        <v>481</v>
      </c>
    </row>
    <row r="10" spans="1:34" ht="17" x14ac:dyDescent="0.2"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AA10" s="4" t="s">
        <v>353</v>
      </c>
      <c r="AB10" s="4" t="s">
        <v>6</v>
      </c>
      <c r="AC10" s="20" t="s">
        <v>106</v>
      </c>
      <c r="AD10" s="4" t="s">
        <v>68</v>
      </c>
    </row>
    <row r="11" spans="1:34" ht="17" customHeight="1" x14ac:dyDescent="0.2">
      <c r="I11" s="159" t="s">
        <v>511</v>
      </c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AA11" s="4" t="s">
        <v>355</v>
      </c>
      <c r="AB11" s="4" t="s">
        <v>6</v>
      </c>
      <c r="AC11" s="20" t="s">
        <v>106</v>
      </c>
      <c r="AD11" s="4" t="s">
        <v>482</v>
      </c>
    </row>
    <row r="12" spans="1:34" ht="17" customHeight="1" x14ac:dyDescent="0.2">
      <c r="I12" s="159" t="s">
        <v>512</v>
      </c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AA12" s="4" t="s">
        <v>547</v>
      </c>
      <c r="AB12" s="4" t="s">
        <v>6</v>
      </c>
      <c r="AC12" s="20" t="s">
        <v>106</v>
      </c>
      <c r="AD12" s="4" t="s">
        <v>481</v>
      </c>
    </row>
    <row r="13" spans="1:34" ht="17" customHeight="1" x14ac:dyDescent="0.2"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AA13" s="22" t="s">
        <v>371</v>
      </c>
      <c r="AB13" s="22" t="s">
        <v>6</v>
      </c>
      <c r="AC13" s="21" t="s">
        <v>135</v>
      </c>
      <c r="AD13" s="22" t="s">
        <v>481</v>
      </c>
    </row>
    <row r="14" spans="1:34" ht="17" customHeight="1" x14ac:dyDescent="0.2"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AA14" s="22" t="s">
        <v>372</v>
      </c>
      <c r="AB14" s="22" t="s">
        <v>6</v>
      </c>
      <c r="AC14" s="21" t="s">
        <v>135</v>
      </c>
      <c r="AD14" s="22" t="s">
        <v>481</v>
      </c>
    </row>
    <row r="15" spans="1:34" ht="17" customHeight="1" x14ac:dyDescent="0.2">
      <c r="I15" s="159" t="s">
        <v>449</v>
      </c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AA15" s="4" t="s">
        <v>377</v>
      </c>
      <c r="AB15" s="4" t="s">
        <v>6</v>
      </c>
      <c r="AC15" s="20" t="s">
        <v>135</v>
      </c>
      <c r="AD15" s="4" t="s">
        <v>68</v>
      </c>
    </row>
    <row r="16" spans="1:34" ht="17" customHeight="1" x14ac:dyDescent="0.2">
      <c r="I16" s="159" t="s">
        <v>450</v>
      </c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AA16" s="22" t="s">
        <v>378</v>
      </c>
      <c r="AB16" s="22" t="s">
        <v>6</v>
      </c>
      <c r="AC16" s="21" t="s">
        <v>135</v>
      </c>
      <c r="AD16" s="22" t="s">
        <v>482</v>
      </c>
    </row>
    <row r="17" spans="9:30" ht="17" customHeight="1" x14ac:dyDescent="0.2">
      <c r="I17" s="159" t="s">
        <v>509</v>
      </c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AA17" s="4" t="s">
        <v>360</v>
      </c>
      <c r="AB17" s="4" t="s">
        <v>400</v>
      </c>
      <c r="AC17" s="20" t="s">
        <v>135</v>
      </c>
      <c r="AD17" s="4" t="s">
        <v>501</v>
      </c>
    </row>
    <row r="18" spans="9:30" ht="17" customHeight="1" x14ac:dyDescent="0.2">
      <c r="I18" s="159" t="s">
        <v>510</v>
      </c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AA18" s="4" t="s">
        <v>361</v>
      </c>
      <c r="AB18" s="4" t="s">
        <v>400</v>
      </c>
      <c r="AC18" s="20" t="s">
        <v>106</v>
      </c>
      <c r="AD18" s="4" t="s">
        <v>501</v>
      </c>
    </row>
    <row r="19" spans="9:30" ht="17" customHeight="1" x14ac:dyDescent="0.2"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AA19" s="4" t="s">
        <v>362</v>
      </c>
      <c r="AB19" s="4" t="s">
        <v>400</v>
      </c>
      <c r="AC19" s="20" t="s">
        <v>106</v>
      </c>
      <c r="AD19" s="4" t="s">
        <v>501</v>
      </c>
    </row>
    <row r="20" spans="9:30" ht="17" customHeight="1" x14ac:dyDescent="0.2">
      <c r="I20" s="159" t="s">
        <v>521</v>
      </c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AA20" s="4" t="s">
        <v>363</v>
      </c>
      <c r="AB20" s="4" t="s">
        <v>400</v>
      </c>
      <c r="AC20" s="20" t="s">
        <v>106</v>
      </c>
      <c r="AD20" s="4" t="s">
        <v>501</v>
      </c>
    </row>
    <row r="21" spans="9:30" ht="17" customHeight="1" x14ac:dyDescent="0.2"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AA21" s="4" t="s">
        <v>364</v>
      </c>
      <c r="AB21" s="4" t="s">
        <v>241</v>
      </c>
      <c r="AC21" s="20" t="s">
        <v>135</v>
      </c>
      <c r="AD21" s="4" t="s">
        <v>481</v>
      </c>
    </row>
    <row r="22" spans="9:30" ht="17" customHeight="1" x14ac:dyDescent="0.2"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AA22" s="4" t="s">
        <v>365</v>
      </c>
      <c r="AB22" s="4" t="s">
        <v>241</v>
      </c>
      <c r="AC22" s="20" t="s">
        <v>106</v>
      </c>
      <c r="AD22" s="4" t="s">
        <v>482</v>
      </c>
    </row>
    <row r="23" spans="9:30" ht="17" customHeight="1" x14ac:dyDescent="0.2"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AA23" s="4" t="s">
        <v>366</v>
      </c>
      <c r="AB23" s="4" t="s">
        <v>241</v>
      </c>
      <c r="AC23" s="20" t="s">
        <v>135</v>
      </c>
      <c r="AD23" s="4" t="s">
        <v>481</v>
      </c>
    </row>
    <row r="24" spans="9:30" ht="17" customHeight="1" x14ac:dyDescent="0.2"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AA24" s="4" t="s">
        <v>367</v>
      </c>
      <c r="AB24" s="4" t="s">
        <v>241</v>
      </c>
      <c r="AC24" s="20" t="s">
        <v>106</v>
      </c>
      <c r="AD24" s="4" t="s">
        <v>482</v>
      </c>
    </row>
    <row r="25" spans="9:30" ht="17" customHeight="1" x14ac:dyDescent="0.2"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</row>
    <row r="26" spans="9:30" ht="16" customHeight="1" x14ac:dyDescent="0.2"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</row>
    <row r="27" spans="9:30" ht="16" customHeight="1" x14ac:dyDescent="0.2"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</row>
    <row r="28" spans="9:30" ht="16" customHeight="1" x14ac:dyDescent="0.2"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</row>
    <row r="29" spans="9:30" ht="16" customHeight="1" x14ac:dyDescent="0.2"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</row>
    <row r="30" spans="9:30" ht="16" customHeight="1" x14ac:dyDescent="0.2"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</row>
    <row r="31" spans="9:30" ht="16" customHeight="1" x14ac:dyDescent="0.2"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</row>
    <row r="32" spans="9:30" ht="16" customHeight="1" x14ac:dyDescent="0.2"/>
    <row r="33" ht="16" customHeight="1" x14ac:dyDescent="0.2"/>
    <row r="34" ht="16" customHeight="1" x14ac:dyDescent="0.2"/>
    <row r="35" ht="16" customHeight="1" x14ac:dyDescent="0.2"/>
    <row r="36" ht="16" customHeight="1" x14ac:dyDescent="0.2"/>
  </sheetData>
  <mergeCells count="30">
    <mergeCell ref="I30:Y30"/>
    <mergeCell ref="I31:Y31"/>
    <mergeCell ref="I16:Y16"/>
    <mergeCell ref="I25:Y25"/>
    <mergeCell ref="I26:Y26"/>
    <mergeCell ref="I27:Y27"/>
    <mergeCell ref="I28:Y28"/>
    <mergeCell ref="I29:Y29"/>
    <mergeCell ref="I24:Y24"/>
    <mergeCell ref="I21:Y21"/>
    <mergeCell ref="I22:Y22"/>
    <mergeCell ref="I23:Y23"/>
    <mergeCell ref="I18:Y18"/>
    <mergeCell ref="AF1:AH1"/>
    <mergeCell ref="I1:Y1"/>
    <mergeCell ref="A1:D1"/>
    <mergeCell ref="C6:D8"/>
    <mergeCell ref="I8:Y8"/>
    <mergeCell ref="AA1:AD1"/>
    <mergeCell ref="F1:G1"/>
    <mergeCell ref="I15:Y15"/>
    <mergeCell ref="I19:Y19"/>
    <mergeCell ref="I20:Y20"/>
    <mergeCell ref="I9:Y9"/>
    <mergeCell ref="I10:Y10"/>
    <mergeCell ref="I11:Y11"/>
    <mergeCell ref="I12:Y12"/>
    <mergeCell ref="I17:Y17"/>
    <mergeCell ref="I13:Y13"/>
    <mergeCell ref="I14:Y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945D-F483-0A43-861E-5F6D5DA50CE4}">
  <dimension ref="A1:AH38"/>
  <sheetViews>
    <sheetView workbookViewId="0">
      <pane ySplit="2" topLeftCell="A3" activePane="bottomLeft" state="frozen"/>
      <selection pane="bottomLeft" activeCell="Z2" sqref="Z2"/>
    </sheetView>
  </sheetViews>
  <sheetFormatPr baseColWidth="10" defaultRowHeight="16" x14ac:dyDescent="0.2"/>
  <cols>
    <col min="1" max="1" width="2.83203125" style="24" bestFit="1" customWidth="1"/>
    <col min="2" max="2" width="8.1640625" style="24" bestFit="1" customWidth="1"/>
    <col min="3" max="3" width="7" style="24" bestFit="1" customWidth="1"/>
    <col min="4" max="4" width="7" style="24" customWidth="1"/>
    <col min="5" max="5" width="10.83203125" style="24"/>
    <col min="6" max="6" width="3.33203125" style="24" bestFit="1" customWidth="1"/>
    <col min="7" max="7" width="8.6640625" style="24" bestFit="1" customWidth="1"/>
    <col min="8" max="8" width="8.33203125" style="24" customWidth="1"/>
    <col min="9" max="9" width="9.1640625" style="24" bestFit="1" customWidth="1"/>
    <col min="10" max="10" width="6.33203125" style="24" bestFit="1" customWidth="1"/>
    <col min="11" max="11" width="7.83203125" style="24" bestFit="1" customWidth="1"/>
    <col min="12" max="12" width="5" style="24" customWidth="1"/>
    <col min="13" max="13" width="14.5" style="24" customWidth="1"/>
    <col min="14" max="14" width="7.33203125" style="24" bestFit="1" customWidth="1"/>
    <col min="15" max="15" width="6" style="24" bestFit="1" customWidth="1"/>
    <col min="16" max="16" width="3.83203125" style="24" bestFit="1" customWidth="1"/>
    <col min="17" max="18" width="3.1640625" style="24" bestFit="1" customWidth="1"/>
    <col min="19" max="19" width="10.5" style="24" bestFit="1" customWidth="1"/>
    <col min="20" max="20" width="8.83203125" style="24" bestFit="1" customWidth="1"/>
    <col min="21" max="21" width="8.1640625" style="24" bestFit="1" customWidth="1"/>
    <col min="22" max="22" width="9.33203125" style="24" customWidth="1"/>
    <col min="23" max="23" width="8.1640625" style="24" customWidth="1"/>
    <col min="24" max="24" width="7.1640625" style="24" bestFit="1" customWidth="1"/>
    <col min="25" max="25" width="7.1640625" style="24" customWidth="1"/>
    <col min="26" max="26" width="18.83203125" style="24" bestFit="1" customWidth="1"/>
    <col min="27" max="27" width="9.6640625" style="24" bestFit="1" customWidth="1"/>
    <col min="28" max="28" width="8.5" style="24" bestFit="1" customWidth="1"/>
    <col min="29" max="29" width="6.5" style="24" bestFit="1" customWidth="1"/>
    <col min="30" max="30" width="8" style="24" customWidth="1"/>
    <col min="31" max="31" width="10.83203125" style="24"/>
    <col min="32" max="32" width="7.5" style="24" bestFit="1" customWidth="1"/>
    <col min="33" max="33" width="7.83203125" style="24" customWidth="1"/>
    <col min="34" max="34" width="6.83203125" style="24" bestFit="1" customWidth="1"/>
    <col min="35" max="16384" width="10.83203125" style="24"/>
  </cols>
  <sheetData>
    <row r="1" spans="1:34" ht="24" customHeight="1" x14ac:dyDescent="0.2">
      <c r="A1" s="161" t="s">
        <v>153</v>
      </c>
      <c r="B1" s="160"/>
      <c r="C1" s="160"/>
      <c r="D1" s="160"/>
      <c r="F1" s="160" t="s">
        <v>88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3"/>
      <c r="Z1" s="152" t="s">
        <v>633</v>
      </c>
      <c r="AA1" s="152"/>
      <c r="AB1" s="152"/>
      <c r="AC1" s="152"/>
      <c r="AF1" s="152" t="s">
        <v>412</v>
      </c>
      <c r="AG1" s="152"/>
      <c r="AH1" s="163"/>
    </row>
    <row r="2" spans="1:34" ht="41" customHeight="1" x14ac:dyDescent="0.2">
      <c r="A2" s="2" t="s">
        <v>73</v>
      </c>
      <c r="B2" s="2" t="s">
        <v>68</v>
      </c>
      <c r="C2" s="2" t="s">
        <v>339</v>
      </c>
      <c r="D2" s="2" t="s">
        <v>105</v>
      </c>
      <c r="F2" s="2" t="s">
        <v>73</v>
      </c>
      <c r="G2" s="2" t="s">
        <v>298</v>
      </c>
      <c r="H2" s="2" t="s">
        <v>190</v>
      </c>
      <c r="I2" s="2" t="s">
        <v>195</v>
      </c>
      <c r="J2" s="2" t="s">
        <v>196</v>
      </c>
      <c r="K2" s="2" t="s">
        <v>197</v>
      </c>
      <c r="L2" s="2" t="s">
        <v>299</v>
      </c>
      <c r="M2" s="2" t="s">
        <v>199</v>
      </c>
      <c r="N2" s="2" t="s">
        <v>186</v>
      </c>
      <c r="O2" s="2" t="s">
        <v>187</v>
      </c>
      <c r="P2" s="2" t="s">
        <v>243</v>
      </c>
      <c r="Q2" s="2" t="s">
        <v>87</v>
      </c>
      <c r="R2" s="2" t="s">
        <v>86</v>
      </c>
      <c r="S2" s="2" t="s">
        <v>379</v>
      </c>
      <c r="T2" s="2" t="s">
        <v>212</v>
      </c>
      <c r="U2" s="2" t="s">
        <v>380</v>
      </c>
      <c r="V2" s="2" t="s">
        <v>245</v>
      </c>
      <c r="W2" s="2" t="s">
        <v>246</v>
      </c>
      <c r="X2" s="2" t="s">
        <v>201</v>
      </c>
      <c r="Y2" s="3"/>
      <c r="Z2" s="2" t="s">
        <v>81</v>
      </c>
      <c r="AA2" s="2" t="s">
        <v>269</v>
      </c>
      <c r="AB2" s="2" t="s">
        <v>229</v>
      </c>
      <c r="AC2" s="2" t="s">
        <v>72</v>
      </c>
      <c r="AF2" s="2" t="s">
        <v>423</v>
      </c>
      <c r="AG2" s="2" t="s">
        <v>506</v>
      </c>
      <c r="AH2" s="2" t="s">
        <v>507</v>
      </c>
    </row>
    <row r="3" spans="1:34" s="1" customFormat="1" ht="17" x14ac:dyDescent="0.2">
      <c r="A3" s="20">
        <v>1</v>
      </c>
      <c r="B3" s="20" t="s">
        <v>57</v>
      </c>
      <c r="C3" s="20" t="s">
        <v>106</v>
      </c>
      <c r="D3" s="20" t="s">
        <v>106</v>
      </c>
      <c r="F3" s="20">
        <v>1</v>
      </c>
      <c r="G3" s="34">
        <v>46085</v>
      </c>
      <c r="H3" s="4" t="s">
        <v>276</v>
      </c>
      <c r="I3" s="4" t="s">
        <v>203</v>
      </c>
      <c r="J3" s="20">
        <v>12</v>
      </c>
      <c r="K3" s="4" t="s">
        <v>204</v>
      </c>
      <c r="L3" s="20">
        <v>2</v>
      </c>
      <c r="M3" s="4" t="s">
        <v>211</v>
      </c>
      <c r="N3" s="20"/>
      <c r="O3" s="20"/>
      <c r="P3" s="20"/>
      <c r="Q3" s="20"/>
      <c r="R3" s="20"/>
      <c r="S3" s="34">
        <v>46086</v>
      </c>
      <c r="T3" s="20">
        <v>9</v>
      </c>
      <c r="U3" s="20"/>
      <c r="V3" s="20"/>
      <c r="W3" s="20"/>
      <c r="X3" s="20">
        <v>2</v>
      </c>
      <c r="Z3" s="4" t="s">
        <v>346</v>
      </c>
      <c r="AA3" s="4" t="s">
        <v>6</v>
      </c>
      <c r="AB3" s="20" t="s">
        <v>106</v>
      </c>
      <c r="AC3" s="4" t="s">
        <v>68</v>
      </c>
      <c r="AF3" s="20">
        <v>5</v>
      </c>
      <c r="AG3" s="20">
        <v>9</v>
      </c>
      <c r="AH3" s="20">
        <v>13</v>
      </c>
    </row>
    <row r="4" spans="1:34" s="1" customFormat="1" ht="17" x14ac:dyDescent="0.2">
      <c r="A4" s="20">
        <v>2</v>
      </c>
      <c r="B4" s="34">
        <v>46082</v>
      </c>
      <c r="C4" s="20" t="s">
        <v>135</v>
      </c>
      <c r="D4" s="20" t="s">
        <v>106</v>
      </c>
      <c r="F4" s="20">
        <v>2</v>
      </c>
      <c r="G4" s="34">
        <v>46087</v>
      </c>
      <c r="H4" s="4" t="s">
        <v>277</v>
      </c>
      <c r="I4" s="4" t="s">
        <v>207</v>
      </c>
      <c r="J4" s="20">
        <v>18</v>
      </c>
      <c r="K4" s="4" t="s">
        <v>208</v>
      </c>
      <c r="L4" s="20">
        <v>22</v>
      </c>
      <c r="M4" s="4" t="s">
        <v>210</v>
      </c>
      <c r="N4" s="20"/>
      <c r="O4" s="20"/>
      <c r="P4" s="20"/>
      <c r="Q4" s="20"/>
      <c r="R4" s="20"/>
      <c r="S4" s="20"/>
      <c r="T4" s="20">
        <v>10</v>
      </c>
      <c r="U4" s="20"/>
      <c r="V4" s="20"/>
      <c r="W4" s="20"/>
      <c r="X4" s="20">
        <v>1</v>
      </c>
      <c r="Z4" s="4" t="s">
        <v>347</v>
      </c>
      <c r="AA4" s="4" t="s">
        <v>218</v>
      </c>
      <c r="AB4" s="20" t="s">
        <v>106</v>
      </c>
      <c r="AC4" s="4" t="s">
        <v>481</v>
      </c>
      <c r="AF4" s="20">
        <v>5</v>
      </c>
      <c r="AG4" s="20">
        <v>9</v>
      </c>
      <c r="AH4" s="20">
        <v>18</v>
      </c>
    </row>
    <row r="5" spans="1:34" s="1" customFormat="1" ht="17" x14ac:dyDescent="0.2">
      <c r="F5" s="20">
        <v>3</v>
      </c>
      <c r="G5" s="34">
        <v>46087</v>
      </c>
      <c r="H5" s="4" t="s">
        <v>278</v>
      </c>
      <c r="I5" s="4" t="s">
        <v>214</v>
      </c>
      <c r="J5" s="20">
        <v>21</v>
      </c>
      <c r="K5" s="4" t="s">
        <v>215</v>
      </c>
      <c r="L5" s="20">
        <v>4</v>
      </c>
      <c r="M5" s="4" t="s">
        <v>216</v>
      </c>
      <c r="N5" s="20" t="s">
        <v>106</v>
      </c>
      <c r="O5" s="20" t="s">
        <v>135</v>
      </c>
      <c r="P5" s="20" t="s">
        <v>106</v>
      </c>
      <c r="Q5" s="20" t="s">
        <v>135</v>
      </c>
      <c r="R5" s="20">
        <v>30</v>
      </c>
      <c r="S5" s="34">
        <v>46087</v>
      </c>
      <c r="T5" s="20">
        <v>19</v>
      </c>
      <c r="U5" s="34">
        <v>46095</v>
      </c>
      <c r="V5" s="20">
        <v>26</v>
      </c>
      <c r="W5" s="20">
        <v>21</v>
      </c>
      <c r="X5" s="20">
        <v>5</v>
      </c>
      <c r="Z5" s="4" t="s">
        <v>348</v>
      </c>
      <c r="AA5" s="4" t="s">
        <v>218</v>
      </c>
      <c r="AB5" s="20" t="s">
        <v>106</v>
      </c>
      <c r="AC5" s="4" t="s">
        <v>481</v>
      </c>
      <c r="AF5" s="20">
        <v>5</v>
      </c>
      <c r="AG5" s="20">
        <v>13</v>
      </c>
      <c r="AH5" s="20">
        <v>10</v>
      </c>
    </row>
    <row r="6" spans="1:34" s="1" customFormat="1" ht="17" x14ac:dyDescent="0.2">
      <c r="C6" s="162" t="s">
        <v>468</v>
      </c>
      <c r="D6" s="162"/>
      <c r="F6" s="32" t="s">
        <v>82</v>
      </c>
      <c r="G6" s="20" t="s">
        <v>83</v>
      </c>
      <c r="H6" s="20" t="s">
        <v>83</v>
      </c>
      <c r="I6" s="20" t="s">
        <v>83</v>
      </c>
      <c r="J6" s="20" t="s">
        <v>83</v>
      </c>
      <c r="K6" s="20" t="s">
        <v>83</v>
      </c>
      <c r="L6" s="20" t="s">
        <v>83</v>
      </c>
      <c r="M6" s="20" t="s">
        <v>83</v>
      </c>
      <c r="N6" s="20"/>
      <c r="O6" s="20"/>
      <c r="P6" s="20"/>
      <c r="Q6" s="20"/>
      <c r="R6" s="20"/>
      <c r="S6" s="20" t="s">
        <v>83</v>
      </c>
      <c r="T6" s="20" t="s">
        <v>107</v>
      </c>
      <c r="U6" s="20" t="s">
        <v>83</v>
      </c>
      <c r="V6" s="20" t="s">
        <v>83</v>
      </c>
      <c r="W6" s="20"/>
      <c r="X6" s="20" t="s">
        <v>178</v>
      </c>
      <c r="Z6" s="4" t="s">
        <v>349</v>
      </c>
      <c r="AA6" s="4" t="s">
        <v>218</v>
      </c>
      <c r="AB6" s="20" t="s">
        <v>106</v>
      </c>
      <c r="AC6" s="4" t="s">
        <v>500</v>
      </c>
      <c r="AF6" s="20">
        <v>5</v>
      </c>
      <c r="AG6" s="20">
        <v>13</v>
      </c>
      <c r="AH6" s="20">
        <v>18</v>
      </c>
    </row>
    <row r="7" spans="1:34" ht="17" x14ac:dyDescent="0.2">
      <c r="C7" s="162"/>
      <c r="D7" s="162"/>
      <c r="Z7" s="4" t="s">
        <v>350</v>
      </c>
      <c r="AA7" s="4" t="s">
        <v>218</v>
      </c>
      <c r="AB7" s="20" t="s">
        <v>135</v>
      </c>
      <c r="AC7" s="4" t="s">
        <v>481</v>
      </c>
      <c r="AF7" s="21">
        <v>5</v>
      </c>
      <c r="AG7" s="21">
        <v>18</v>
      </c>
      <c r="AH7" s="21">
        <v>10</v>
      </c>
    </row>
    <row r="8" spans="1:34" ht="17" customHeight="1" x14ac:dyDescent="0.2">
      <c r="C8" s="162"/>
      <c r="D8" s="162"/>
      <c r="F8" s="159" t="s">
        <v>448</v>
      </c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Z8" s="4" t="s">
        <v>370</v>
      </c>
      <c r="AA8" s="4" t="s">
        <v>218</v>
      </c>
      <c r="AB8" s="20" t="s">
        <v>106</v>
      </c>
      <c r="AC8" s="4" t="s">
        <v>481</v>
      </c>
      <c r="AF8" s="21">
        <v>2</v>
      </c>
      <c r="AG8" s="21">
        <v>21</v>
      </c>
      <c r="AH8" s="21">
        <v>26</v>
      </c>
    </row>
    <row r="9" spans="1:34" ht="17" customHeight="1" x14ac:dyDescent="0.2">
      <c r="F9" s="159" t="s">
        <v>456</v>
      </c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Z9" s="4" t="s">
        <v>352</v>
      </c>
      <c r="AA9" s="4" t="s">
        <v>218</v>
      </c>
      <c r="AB9" s="20" t="s">
        <v>135</v>
      </c>
      <c r="AC9" s="4" t="s">
        <v>481</v>
      </c>
      <c r="AF9" s="21">
        <v>3</v>
      </c>
      <c r="AG9" s="21">
        <v>21</v>
      </c>
      <c r="AH9" s="21">
        <v>23</v>
      </c>
    </row>
    <row r="10" spans="1:34" ht="17" customHeight="1" x14ac:dyDescent="0.2"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Z10" s="4" t="s">
        <v>353</v>
      </c>
      <c r="AA10" s="4" t="s">
        <v>6</v>
      </c>
      <c r="AB10" s="20" t="s">
        <v>106</v>
      </c>
      <c r="AC10" s="4" t="s">
        <v>68</v>
      </c>
      <c r="AF10" s="21">
        <v>3</v>
      </c>
      <c r="AG10" s="21">
        <v>23</v>
      </c>
      <c r="AH10" s="21">
        <v>27</v>
      </c>
    </row>
    <row r="11" spans="1:34" ht="17" customHeight="1" x14ac:dyDescent="0.2">
      <c r="F11" s="159" t="s">
        <v>449</v>
      </c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Z11" s="4" t="s">
        <v>355</v>
      </c>
      <c r="AA11" s="4" t="s">
        <v>6</v>
      </c>
      <c r="AB11" s="20" t="s">
        <v>106</v>
      </c>
      <c r="AC11" s="4" t="s">
        <v>482</v>
      </c>
      <c r="AF11" s="21">
        <v>5</v>
      </c>
      <c r="AG11" s="21">
        <v>10</v>
      </c>
      <c r="AH11" s="21">
        <v>11</v>
      </c>
    </row>
    <row r="12" spans="1:34" ht="17" customHeight="1" x14ac:dyDescent="0.2">
      <c r="F12" s="159" t="s">
        <v>450</v>
      </c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Z12" s="4" t="s">
        <v>547</v>
      </c>
      <c r="AA12" s="4" t="s">
        <v>6</v>
      </c>
      <c r="AB12" s="20" t="s">
        <v>106</v>
      </c>
      <c r="AC12" s="4" t="s">
        <v>481</v>
      </c>
      <c r="AF12" s="21">
        <v>5</v>
      </c>
      <c r="AG12" s="21">
        <v>11</v>
      </c>
      <c r="AH12" s="21">
        <v>10</v>
      </c>
    </row>
    <row r="13" spans="1:34" ht="17" customHeight="1" x14ac:dyDescent="0.2">
      <c r="F13" s="159" t="s">
        <v>464</v>
      </c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Z13" s="4" t="s">
        <v>384</v>
      </c>
      <c r="AA13" s="4" t="s">
        <v>218</v>
      </c>
      <c r="AB13" s="20" t="s">
        <v>135</v>
      </c>
      <c r="AC13" s="4" t="s">
        <v>481</v>
      </c>
      <c r="AD13" s="165" t="s">
        <v>522</v>
      </c>
    </row>
    <row r="14" spans="1:34" ht="17" customHeight="1" x14ac:dyDescent="0.2">
      <c r="F14" s="159" t="s">
        <v>465</v>
      </c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Z14" s="4" t="s">
        <v>385</v>
      </c>
      <c r="AA14" s="4" t="s">
        <v>218</v>
      </c>
      <c r="AB14" s="20" t="s">
        <v>135</v>
      </c>
      <c r="AC14" s="4" t="s">
        <v>481</v>
      </c>
      <c r="AD14" s="165"/>
    </row>
    <row r="15" spans="1:34" ht="17" customHeight="1" x14ac:dyDescent="0.2"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Z15" s="4" t="s">
        <v>386</v>
      </c>
      <c r="AA15" s="4" t="s">
        <v>218</v>
      </c>
      <c r="AB15" s="20" t="s">
        <v>135</v>
      </c>
      <c r="AC15" s="4" t="s">
        <v>481</v>
      </c>
      <c r="AD15" s="165"/>
    </row>
    <row r="16" spans="1:34" ht="17" customHeight="1" x14ac:dyDescent="0.2">
      <c r="F16" s="166" t="s">
        <v>519</v>
      </c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Z16" s="4" t="s">
        <v>85</v>
      </c>
      <c r="AA16" s="4" t="s">
        <v>218</v>
      </c>
      <c r="AB16" s="20" t="s">
        <v>135</v>
      </c>
      <c r="AC16" s="4" t="s">
        <v>481</v>
      </c>
      <c r="AD16" s="165"/>
    </row>
    <row r="17" spans="6:30" ht="17" customHeight="1" x14ac:dyDescent="0.2">
      <c r="F17" s="159" t="s">
        <v>520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Z17" s="4" t="s">
        <v>387</v>
      </c>
      <c r="AA17" s="4" t="s">
        <v>218</v>
      </c>
      <c r="AB17" s="20" t="s">
        <v>135</v>
      </c>
      <c r="AC17" s="4" t="s">
        <v>513</v>
      </c>
      <c r="AD17" s="165"/>
    </row>
    <row r="18" spans="6:30" ht="17" customHeight="1" x14ac:dyDescent="0.2"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Z18" s="4" t="s">
        <v>381</v>
      </c>
      <c r="AA18" s="4" t="s">
        <v>6</v>
      </c>
      <c r="AB18" s="20" t="s">
        <v>135</v>
      </c>
      <c r="AC18" s="4" t="s">
        <v>68</v>
      </c>
    </row>
    <row r="19" spans="6:30" ht="17" customHeight="1" x14ac:dyDescent="0.2">
      <c r="F19" s="159" t="s">
        <v>521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Z19" s="4" t="s">
        <v>382</v>
      </c>
      <c r="AA19" s="4" t="s">
        <v>6</v>
      </c>
      <c r="AB19" s="20" t="s">
        <v>106</v>
      </c>
      <c r="AC19" s="4" t="s">
        <v>482</v>
      </c>
    </row>
    <row r="20" spans="6:30" ht="17" customHeight="1" x14ac:dyDescent="0.2"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Z20" s="4" t="s">
        <v>383</v>
      </c>
      <c r="AA20" s="4" t="s">
        <v>6</v>
      </c>
      <c r="AB20" s="20" t="s">
        <v>106</v>
      </c>
      <c r="AC20" s="4" t="s">
        <v>482</v>
      </c>
    </row>
    <row r="21" spans="6:30" ht="17" customHeight="1" x14ac:dyDescent="0.2"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Z21" s="4" t="s">
        <v>360</v>
      </c>
      <c r="AA21" s="4" t="s">
        <v>400</v>
      </c>
      <c r="AB21" s="20" t="s">
        <v>135</v>
      </c>
      <c r="AC21" s="4" t="s">
        <v>501</v>
      </c>
    </row>
    <row r="22" spans="6:30" ht="17" customHeight="1" x14ac:dyDescent="0.2"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Z22" s="4" t="s">
        <v>361</v>
      </c>
      <c r="AA22" s="4" t="s">
        <v>400</v>
      </c>
      <c r="AB22" s="20" t="s">
        <v>106</v>
      </c>
      <c r="AC22" s="4" t="s">
        <v>501</v>
      </c>
    </row>
    <row r="23" spans="6:30" ht="17" customHeight="1" x14ac:dyDescent="0.2"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Z23" s="4" t="s">
        <v>362</v>
      </c>
      <c r="AA23" s="4" t="s">
        <v>400</v>
      </c>
      <c r="AB23" s="20" t="s">
        <v>106</v>
      </c>
      <c r="AC23" s="4" t="s">
        <v>501</v>
      </c>
    </row>
    <row r="24" spans="6:30" ht="17" customHeight="1" x14ac:dyDescent="0.2"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Z24" s="4" t="s">
        <v>363</v>
      </c>
      <c r="AA24" s="4" t="s">
        <v>400</v>
      </c>
      <c r="AB24" s="20" t="s">
        <v>106</v>
      </c>
      <c r="AC24" s="4" t="s">
        <v>501</v>
      </c>
    </row>
    <row r="25" spans="6:30" ht="17" customHeight="1" x14ac:dyDescent="0.2"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Z25" s="4" t="s">
        <v>364</v>
      </c>
      <c r="AA25" s="4" t="s">
        <v>241</v>
      </c>
      <c r="AB25" s="20" t="s">
        <v>135</v>
      </c>
      <c r="AC25" s="4" t="s">
        <v>481</v>
      </c>
    </row>
    <row r="26" spans="6:30" ht="17" customHeight="1" x14ac:dyDescent="0.2"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Z26" s="4" t="s">
        <v>365</v>
      </c>
      <c r="AA26" s="4" t="s">
        <v>241</v>
      </c>
      <c r="AB26" s="20" t="s">
        <v>106</v>
      </c>
      <c r="AC26" s="4" t="s">
        <v>482</v>
      </c>
    </row>
    <row r="27" spans="6:30" ht="17" customHeight="1" x14ac:dyDescent="0.2"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Z27" s="4" t="s">
        <v>366</v>
      </c>
      <c r="AA27" s="4" t="s">
        <v>241</v>
      </c>
      <c r="AB27" s="20" t="s">
        <v>135</v>
      </c>
      <c r="AC27" s="4" t="s">
        <v>481</v>
      </c>
    </row>
    <row r="28" spans="6:30" ht="17" customHeight="1" x14ac:dyDescent="0.2"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Z28" s="4" t="s">
        <v>367</v>
      </c>
      <c r="AA28" s="4" t="s">
        <v>241</v>
      </c>
      <c r="AB28" s="20" t="s">
        <v>106</v>
      </c>
      <c r="AC28" s="4" t="s">
        <v>482</v>
      </c>
    </row>
    <row r="29" spans="6:30" ht="17" customHeight="1" x14ac:dyDescent="0.2"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C29" s="1"/>
    </row>
    <row r="30" spans="6:30" ht="16" customHeight="1" x14ac:dyDescent="0.2"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</row>
    <row r="31" spans="6:30" ht="16" customHeight="1" x14ac:dyDescent="0.2"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</row>
    <row r="32" spans="6:30" ht="16" customHeight="1" x14ac:dyDescent="0.2"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</row>
    <row r="33" spans="6:24" ht="16" customHeight="1" x14ac:dyDescent="0.2"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</row>
    <row r="34" spans="6:24" ht="16" customHeight="1" x14ac:dyDescent="0.2"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</row>
    <row r="35" spans="6:24" ht="16" customHeight="1" x14ac:dyDescent="0.2"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</row>
    <row r="36" spans="6:24" ht="16" customHeight="1" x14ac:dyDescent="0.2"/>
    <row r="37" spans="6:24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6:24" ht="16" customHeight="1" x14ac:dyDescent="0.2"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</sheetData>
  <mergeCells count="34">
    <mergeCell ref="F34:X34"/>
    <mergeCell ref="F35:X35"/>
    <mergeCell ref="F16:X16"/>
    <mergeCell ref="A1:D1"/>
    <mergeCell ref="C6:D8"/>
    <mergeCell ref="F1:X1"/>
    <mergeCell ref="F11:X11"/>
    <mergeCell ref="F12:X12"/>
    <mergeCell ref="F13:X13"/>
    <mergeCell ref="F14:X14"/>
    <mergeCell ref="F15:X15"/>
    <mergeCell ref="F17:X17"/>
    <mergeCell ref="F18:X18"/>
    <mergeCell ref="F19:X19"/>
    <mergeCell ref="F29:X29"/>
    <mergeCell ref="F30:X30"/>
    <mergeCell ref="AF1:AH1"/>
    <mergeCell ref="F8:X8"/>
    <mergeCell ref="F9:X9"/>
    <mergeCell ref="F10:X10"/>
    <mergeCell ref="Z1:AC1"/>
    <mergeCell ref="F31:X31"/>
    <mergeCell ref="F32:X32"/>
    <mergeCell ref="F33:X33"/>
    <mergeCell ref="AD13:AD17"/>
    <mergeCell ref="F25:X25"/>
    <mergeCell ref="F26:X26"/>
    <mergeCell ref="F27:X27"/>
    <mergeCell ref="F28:X28"/>
    <mergeCell ref="F20:X20"/>
    <mergeCell ref="F21:X21"/>
    <mergeCell ref="F22:X22"/>
    <mergeCell ref="F23:X23"/>
    <mergeCell ref="F24:X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6F37-8157-EE45-8C23-581D56E7CD44}">
  <dimension ref="A1:AH88"/>
  <sheetViews>
    <sheetView topLeftCell="J1" workbookViewId="0">
      <pane ySplit="2" topLeftCell="A3" activePane="bottomLeft" state="frozen"/>
      <selection pane="bottomLeft" activeCell="AA2" sqref="AA2"/>
    </sheetView>
  </sheetViews>
  <sheetFormatPr baseColWidth="10" defaultRowHeight="16" x14ac:dyDescent="0.2"/>
  <cols>
    <col min="1" max="1" width="2.83203125" style="1" bestFit="1" customWidth="1"/>
    <col min="2" max="2" width="8.1640625" style="1" bestFit="1" customWidth="1"/>
    <col min="3" max="3" width="7" style="1" bestFit="1" customWidth="1"/>
    <col min="4" max="4" width="7" style="1" customWidth="1"/>
    <col min="5" max="5" width="10.83203125" style="1"/>
    <col min="6" max="6" width="3.33203125" style="1" bestFit="1" customWidth="1"/>
    <col min="7" max="7" width="8.6640625" style="1" bestFit="1" customWidth="1"/>
    <col min="8" max="8" width="8.33203125" style="1" customWidth="1"/>
    <col min="9" max="9" width="9.1640625" style="1" bestFit="1" customWidth="1"/>
    <col min="10" max="10" width="6.33203125" style="1" bestFit="1" customWidth="1"/>
    <col min="11" max="11" width="7.83203125" style="1" bestFit="1" customWidth="1"/>
    <col min="12" max="12" width="5.33203125" style="1" customWidth="1"/>
    <col min="13" max="13" width="12.6640625" style="1" bestFit="1" customWidth="1"/>
    <col min="14" max="14" width="8.83203125" style="1" customWidth="1"/>
    <col min="15" max="15" width="7.33203125" style="1" bestFit="1" customWidth="1"/>
    <col min="16" max="16" width="6" style="1" customWidth="1"/>
    <col min="17" max="17" width="3.83203125" style="1" bestFit="1" customWidth="1"/>
    <col min="18" max="19" width="3.1640625" style="1" bestFit="1" customWidth="1"/>
    <col min="20" max="20" width="8.83203125" style="1" customWidth="1"/>
    <col min="21" max="21" width="7.1640625" style="1" customWidth="1"/>
    <col min="22" max="22" width="8.1640625" style="1" customWidth="1"/>
    <col min="23" max="23" width="10.5" style="1" customWidth="1"/>
    <col min="24" max="24" width="10.33203125" style="1" customWidth="1"/>
    <col min="25" max="25" width="7.33203125" style="1" bestFit="1" customWidth="1"/>
    <col min="26" max="26" width="10.83203125" style="1"/>
    <col min="27" max="27" width="18.83203125" style="1" bestFit="1" customWidth="1"/>
    <col min="28" max="28" width="9.6640625" style="1" bestFit="1" customWidth="1"/>
    <col min="29" max="29" width="8.5" style="1" bestFit="1" customWidth="1"/>
    <col min="30" max="30" width="6.5" style="24" bestFit="1" customWidth="1"/>
    <col min="31" max="31" width="10.83203125" style="1"/>
    <col min="32" max="32" width="7.5" style="1" bestFit="1" customWidth="1"/>
    <col min="33" max="33" width="9.33203125" style="1" bestFit="1" customWidth="1"/>
    <col min="34" max="34" width="6.83203125" style="1" bestFit="1" customWidth="1"/>
    <col min="35" max="16384" width="10.83203125" style="1"/>
  </cols>
  <sheetData>
    <row r="1" spans="1:34" ht="24" customHeight="1" x14ac:dyDescent="0.2">
      <c r="A1" s="164" t="s">
        <v>153</v>
      </c>
      <c r="B1" s="152"/>
      <c r="C1" s="152"/>
      <c r="D1" s="152"/>
      <c r="F1" s="154" t="s">
        <v>88</v>
      </c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3"/>
      <c r="AA1" s="164" t="s">
        <v>633</v>
      </c>
      <c r="AB1" s="152"/>
      <c r="AC1" s="152"/>
      <c r="AD1" s="152"/>
      <c r="AF1" s="152" t="s">
        <v>412</v>
      </c>
      <c r="AG1" s="152"/>
      <c r="AH1" s="163"/>
    </row>
    <row r="2" spans="1:34" ht="34" x14ac:dyDescent="0.2">
      <c r="A2" s="2" t="s">
        <v>73</v>
      </c>
      <c r="B2" s="2" t="s">
        <v>68</v>
      </c>
      <c r="C2" s="2" t="s">
        <v>339</v>
      </c>
      <c r="D2" s="2" t="s">
        <v>105</v>
      </c>
      <c r="F2" s="2" t="s">
        <v>73</v>
      </c>
      <c r="G2" s="2" t="s">
        <v>298</v>
      </c>
      <c r="H2" s="2" t="s">
        <v>190</v>
      </c>
      <c r="I2" s="2" t="s">
        <v>195</v>
      </c>
      <c r="J2" s="2" t="s">
        <v>196</v>
      </c>
      <c r="K2" s="2" t="s">
        <v>197</v>
      </c>
      <c r="L2" s="2" t="s">
        <v>299</v>
      </c>
      <c r="M2" s="2" t="s">
        <v>199</v>
      </c>
      <c r="N2" s="2" t="s">
        <v>380</v>
      </c>
      <c r="O2" s="2" t="s">
        <v>186</v>
      </c>
      <c r="P2" s="2" t="s">
        <v>187</v>
      </c>
      <c r="Q2" s="2" t="s">
        <v>243</v>
      </c>
      <c r="R2" s="2" t="s">
        <v>87</v>
      </c>
      <c r="S2" s="2" t="s">
        <v>86</v>
      </c>
      <c r="T2" s="2" t="s">
        <v>344</v>
      </c>
      <c r="U2" s="2" t="s">
        <v>212</v>
      </c>
      <c r="V2" s="2" t="s">
        <v>388</v>
      </c>
      <c r="W2" s="2" t="s">
        <v>240</v>
      </c>
      <c r="X2" s="2" t="s">
        <v>246</v>
      </c>
      <c r="Y2" s="2" t="s">
        <v>201</v>
      </c>
      <c r="Z2" s="3"/>
      <c r="AA2" s="2" t="s">
        <v>81</v>
      </c>
      <c r="AB2" s="2" t="s">
        <v>269</v>
      </c>
      <c r="AC2" s="2" t="s">
        <v>229</v>
      </c>
      <c r="AD2" s="2" t="s">
        <v>72</v>
      </c>
      <c r="AF2" s="2" t="s">
        <v>423</v>
      </c>
      <c r="AG2" s="2" t="s">
        <v>506</v>
      </c>
      <c r="AH2" s="2" t="s">
        <v>507</v>
      </c>
    </row>
    <row r="3" spans="1:34" ht="17" x14ac:dyDescent="0.2">
      <c r="A3" s="20">
        <v>1</v>
      </c>
      <c r="B3" s="20" t="s">
        <v>57</v>
      </c>
      <c r="C3" s="20" t="s">
        <v>106</v>
      </c>
      <c r="D3" s="20" t="s">
        <v>106</v>
      </c>
      <c r="F3" s="20">
        <v>1</v>
      </c>
      <c r="G3" s="34">
        <v>46085</v>
      </c>
      <c r="H3" s="4" t="s">
        <v>273</v>
      </c>
      <c r="I3" s="4" t="s">
        <v>203</v>
      </c>
      <c r="J3" s="20">
        <v>12</v>
      </c>
      <c r="K3" s="4" t="s">
        <v>204</v>
      </c>
      <c r="L3" s="20">
        <v>2</v>
      </c>
      <c r="M3" s="4" t="s">
        <v>211</v>
      </c>
      <c r="N3" s="20"/>
      <c r="O3" s="20"/>
      <c r="P3" s="20"/>
      <c r="Q3" s="20"/>
      <c r="R3" s="20"/>
      <c r="S3" s="20"/>
      <c r="T3" s="34">
        <v>46086</v>
      </c>
      <c r="U3" s="20">
        <v>9</v>
      </c>
      <c r="V3" s="20"/>
      <c r="W3" s="20"/>
      <c r="X3" s="20"/>
      <c r="Y3" s="20">
        <v>2</v>
      </c>
      <c r="AA3" s="4" t="s">
        <v>346</v>
      </c>
      <c r="AB3" s="4" t="s">
        <v>6</v>
      </c>
      <c r="AC3" s="20" t="s">
        <v>106</v>
      </c>
      <c r="AD3" s="4" t="s">
        <v>68</v>
      </c>
      <c r="AF3" s="20">
        <v>5</v>
      </c>
      <c r="AG3" s="20">
        <v>9</v>
      </c>
      <c r="AH3" s="20">
        <v>13</v>
      </c>
    </row>
    <row r="4" spans="1:34" ht="17" x14ac:dyDescent="0.2">
      <c r="A4" s="20">
        <v>2</v>
      </c>
      <c r="B4" s="34">
        <v>46082</v>
      </c>
      <c r="C4" s="20" t="s">
        <v>135</v>
      </c>
      <c r="D4" s="20" t="s">
        <v>106</v>
      </c>
      <c r="F4" s="20">
        <v>2</v>
      </c>
      <c r="G4" s="34">
        <v>46087</v>
      </c>
      <c r="H4" s="4" t="s">
        <v>274</v>
      </c>
      <c r="I4" s="4" t="s">
        <v>207</v>
      </c>
      <c r="J4" s="20">
        <v>18</v>
      </c>
      <c r="K4" s="4" t="s">
        <v>208</v>
      </c>
      <c r="L4" s="20">
        <v>22</v>
      </c>
      <c r="M4" s="4" t="s">
        <v>210</v>
      </c>
      <c r="N4" s="20"/>
      <c r="O4" s="20"/>
      <c r="P4" s="20"/>
      <c r="Q4" s="20"/>
      <c r="R4" s="20"/>
      <c r="S4" s="20"/>
      <c r="T4" s="20"/>
      <c r="U4" s="20">
        <v>10</v>
      </c>
      <c r="V4" s="20"/>
      <c r="W4" s="20"/>
      <c r="X4" s="20"/>
      <c r="Y4" s="20">
        <v>1</v>
      </c>
      <c r="AA4" s="4" t="s">
        <v>347</v>
      </c>
      <c r="AB4" s="4" t="s">
        <v>218</v>
      </c>
      <c r="AC4" s="20" t="s">
        <v>106</v>
      </c>
      <c r="AD4" s="4" t="s">
        <v>481</v>
      </c>
      <c r="AF4" s="20">
        <v>5</v>
      </c>
      <c r="AG4" s="20">
        <v>9</v>
      </c>
      <c r="AH4" s="20">
        <v>18</v>
      </c>
    </row>
    <row r="5" spans="1:34" ht="17" x14ac:dyDescent="0.2">
      <c r="F5" s="20">
        <v>3</v>
      </c>
      <c r="G5" s="34">
        <v>46087</v>
      </c>
      <c r="H5" s="4" t="s">
        <v>275</v>
      </c>
      <c r="I5" s="4" t="s">
        <v>214</v>
      </c>
      <c r="J5" s="20">
        <v>21</v>
      </c>
      <c r="K5" s="4" t="s">
        <v>215</v>
      </c>
      <c r="L5" s="20">
        <v>4</v>
      </c>
      <c r="M5" s="4" t="s">
        <v>216</v>
      </c>
      <c r="N5" s="34">
        <v>46095</v>
      </c>
      <c r="O5" s="20" t="s">
        <v>106</v>
      </c>
      <c r="P5" s="20" t="s">
        <v>135</v>
      </c>
      <c r="Q5" s="20" t="s">
        <v>106</v>
      </c>
      <c r="R5" s="20" t="s">
        <v>135</v>
      </c>
      <c r="S5" s="20">
        <v>30</v>
      </c>
      <c r="T5" s="34">
        <v>46087</v>
      </c>
      <c r="U5" s="20">
        <v>19</v>
      </c>
      <c r="V5" s="34">
        <v>46096</v>
      </c>
      <c r="W5" s="20">
        <v>26</v>
      </c>
      <c r="X5" s="20">
        <v>21</v>
      </c>
      <c r="Y5" s="20">
        <v>5</v>
      </c>
      <c r="AA5" s="4" t="s">
        <v>348</v>
      </c>
      <c r="AB5" s="4" t="s">
        <v>218</v>
      </c>
      <c r="AC5" s="20" t="s">
        <v>106</v>
      </c>
      <c r="AD5" s="4" t="s">
        <v>481</v>
      </c>
      <c r="AF5" s="20">
        <v>5</v>
      </c>
      <c r="AG5" s="20">
        <v>13</v>
      </c>
      <c r="AH5" s="20">
        <v>10</v>
      </c>
    </row>
    <row r="6" spans="1:34" ht="17" x14ac:dyDescent="0.2">
      <c r="C6" s="162" t="s">
        <v>468</v>
      </c>
      <c r="D6" s="162"/>
      <c r="F6" s="32" t="s">
        <v>82</v>
      </c>
      <c r="G6" s="20" t="s">
        <v>83</v>
      </c>
      <c r="H6" s="20" t="s">
        <v>83</v>
      </c>
      <c r="I6" s="20" t="s">
        <v>83</v>
      </c>
      <c r="J6" s="20" t="s">
        <v>83</v>
      </c>
      <c r="K6" s="20" t="s">
        <v>83</v>
      </c>
      <c r="L6" s="20" t="s">
        <v>83</v>
      </c>
      <c r="M6" s="20" t="s">
        <v>83</v>
      </c>
      <c r="N6" s="20" t="s">
        <v>83</v>
      </c>
      <c r="O6" s="20"/>
      <c r="P6" s="20"/>
      <c r="Q6" s="20"/>
      <c r="R6" s="20"/>
      <c r="S6" s="20"/>
      <c r="T6" s="20" t="s">
        <v>83</v>
      </c>
      <c r="U6" s="20" t="s">
        <v>107</v>
      </c>
      <c r="V6" s="20"/>
      <c r="W6" s="20" t="s">
        <v>83</v>
      </c>
      <c r="X6" s="20"/>
      <c r="Y6" s="20" t="s">
        <v>178</v>
      </c>
      <c r="AA6" s="4" t="s">
        <v>349</v>
      </c>
      <c r="AB6" s="4" t="s">
        <v>218</v>
      </c>
      <c r="AC6" s="20" t="s">
        <v>106</v>
      </c>
      <c r="AD6" s="4" t="s">
        <v>500</v>
      </c>
      <c r="AF6" s="20">
        <v>5</v>
      </c>
      <c r="AG6" s="20">
        <v>13</v>
      </c>
      <c r="AH6" s="20">
        <v>18</v>
      </c>
    </row>
    <row r="7" spans="1:34" ht="17" x14ac:dyDescent="0.2">
      <c r="C7" s="162"/>
      <c r="D7" s="162"/>
      <c r="AA7" s="4" t="s">
        <v>350</v>
      </c>
      <c r="AB7" s="4" t="s">
        <v>218</v>
      </c>
      <c r="AC7" s="20" t="s">
        <v>135</v>
      </c>
      <c r="AD7" s="4" t="s">
        <v>481</v>
      </c>
      <c r="AF7" s="20">
        <v>5</v>
      </c>
      <c r="AG7" s="20">
        <v>18</v>
      </c>
      <c r="AH7" s="20">
        <v>10</v>
      </c>
    </row>
    <row r="8" spans="1:34" ht="17" customHeight="1" x14ac:dyDescent="0.2">
      <c r="C8" s="162"/>
      <c r="D8" s="162"/>
      <c r="F8" s="162" t="s">
        <v>463</v>
      </c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AA8" s="4" t="s">
        <v>370</v>
      </c>
      <c r="AB8" s="4" t="s">
        <v>218</v>
      </c>
      <c r="AC8" s="20" t="s">
        <v>106</v>
      </c>
      <c r="AD8" s="4" t="s">
        <v>481</v>
      </c>
      <c r="AF8" s="20">
        <v>1</v>
      </c>
      <c r="AG8" s="20">
        <v>21</v>
      </c>
      <c r="AH8" s="20">
        <v>26</v>
      </c>
    </row>
    <row r="9" spans="1:34" ht="17" customHeight="1" x14ac:dyDescent="0.2"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AA9" s="4" t="s">
        <v>352</v>
      </c>
      <c r="AB9" s="4" t="s">
        <v>218</v>
      </c>
      <c r="AC9" s="20" t="s">
        <v>135</v>
      </c>
      <c r="AD9" s="4" t="s">
        <v>481</v>
      </c>
      <c r="AF9" s="20">
        <v>3</v>
      </c>
      <c r="AG9" s="20">
        <v>21</v>
      </c>
      <c r="AH9" s="20">
        <v>23</v>
      </c>
    </row>
    <row r="10" spans="1:34" ht="17" customHeight="1" x14ac:dyDescent="0.2">
      <c r="F10" s="162" t="s">
        <v>462</v>
      </c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AA10" s="4" t="s">
        <v>381</v>
      </c>
      <c r="AB10" s="4" t="s">
        <v>6</v>
      </c>
      <c r="AC10" s="20" t="s">
        <v>135</v>
      </c>
      <c r="AD10" s="4" t="s">
        <v>68</v>
      </c>
      <c r="AF10" s="20">
        <v>3</v>
      </c>
      <c r="AG10" s="20">
        <v>23</v>
      </c>
      <c r="AH10" s="20">
        <v>27</v>
      </c>
    </row>
    <row r="11" spans="1:34" ht="17" customHeight="1" x14ac:dyDescent="0.2"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AA11" s="4" t="s">
        <v>353</v>
      </c>
      <c r="AB11" s="4" t="s">
        <v>6</v>
      </c>
      <c r="AC11" s="20" t="s">
        <v>106</v>
      </c>
      <c r="AD11" s="4" t="s">
        <v>68</v>
      </c>
      <c r="AF11" s="20">
        <v>5</v>
      </c>
      <c r="AG11" s="20">
        <v>12</v>
      </c>
      <c r="AH11" s="20">
        <v>10</v>
      </c>
    </row>
    <row r="12" spans="1:34" ht="17" customHeight="1" x14ac:dyDescent="0.2"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AA12" s="4" t="s">
        <v>355</v>
      </c>
      <c r="AB12" s="4" t="s">
        <v>6</v>
      </c>
      <c r="AC12" s="20" t="s">
        <v>106</v>
      </c>
      <c r="AD12" s="4" t="s">
        <v>482</v>
      </c>
      <c r="AF12" s="21">
        <v>5</v>
      </c>
      <c r="AG12" s="21">
        <v>10</v>
      </c>
      <c r="AH12" s="21">
        <v>11</v>
      </c>
    </row>
    <row r="13" spans="1:34" ht="17" customHeight="1" x14ac:dyDescent="0.2">
      <c r="F13" s="162" t="s">
        <v>449</v>
      </c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AA13" s="4" t="s">
        <v>547</v>
      </c>
      <c r="AB13" s="4" t="s">
        <v>6</v>
      </c>
      <c r="AC13" s="20" t="s">
        <v>106</v>
      </c>
      <c r="AD13" s="4" t="s">
        <v>481</v>
      </c>
      <c r="AF13" s="21">
        <v>5</v>
      </c>
      <c r="AG13" s="21">
        <v>11</v>
      </c>
      <c r="AH13" s="21">
        <v>10</v>
      </c>
    </row>
    <row r="14" spans="1:34" ht="17" customHeight="1" x14ac:dyDescent="0.2">
      <c r="F14" s="162" t="s">
        <v>450</v>
      </c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AA14" s="4" t="s">
        <v>384</v>
      </c>
      <c r="AB14" s="4" t="s">
        <v>218</v>
      </c>
      <c r="AC14" s="20" t="s">
        <v>135</v>
      </c>
      <c r="AD14" s="4" t="s">
        <v>481</v>
      </c>
    </row>
    <row r="15" spans="1:34" ht="17" customHeight="1" x14ac:dyDescent="0.2">
      <c r="F15" s="162" t="s">
        <v>464</v>
      </c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AA15" s="4" t="s">
        <v>385</v>
      </c>
      <c r="AB15" s="4" t="s">
        <v>218</v>
      </c>
      <c r="AC15" s="20" t="s">
        <v>135</v>
      </c>
      <c r="AD15" s="4" t="s">
        <v>481</v>
      </c>
    </row>
    <row r="16" spans="1:34" ht="17" customHeight="1" x14ac:dyDescent="0.2">
      <c r="F16" s="162" t="s">
        <v>465</v>
      </c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AA16" s="4" t="s">
        <v>386</v>
      </c>
      <c r="AB16" s="4" t="s">
        <v>218</v>
      </c>
      <c r="AC16" s="20" t="s">
        <v>135</v>
      </c>
      <c r="AD16" s="4" t="s">
        <v>481</v>
      </c>
    </row>
    <row r="17" spans="6:30" ht="17" customHeight="1" x14ac:dyDescent="0.2"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AA17" s="4" t="s">
        <v>85</v>
      </c>
      <c r="AB17" s="4" t="s">
        <v>218</v>
      </c>
      <c r="AC17" s="20" t="s">
        <v>135</v>
      </c>
      <c r="AD17" s="4" t="s">
        <v>481</v>
      </c>
    </row>
    <row r="18" spans="6:30" ht="17" customHeight="1" x14ac:dyDescent="0.2">
      <c r="F18" s="162" t="s">
        <v>521</v>
      </c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AA18" s="4" t="s">
        <v>387</v>
      </c>
      <c r="AB18" s="4" t="s">
        <v>218</v>
      </c>
      <c r="AC18" s="20" t="s">
        <v>135</v>
      </c>
      <c r="AD18" s="4" t="s">
        <v>513</v>
      </c>
    </row>
    <row r="19" spans="6:30" ht="17" customHeight="1" x14ac:dyDescent="0.2"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AA19" s="4" t="s">
        <v>389</v>
      </c>
      <c r="AB19" s="4" t="s">
        <v>6</v>
      </c>
      <c r="AC19" s="20" t="s">
        <v>135</v>
      </c>
      <c r="AD19" s="4" t="s">
        <v>68</v>
      </c>
    </row>
    <row r="20" spans="6:30" ht="17" customHeight="1" x14ac:dyDescent="0.2"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AA20" s="4" t="s">
        <v>390</v>
      </c>
      <c r="AB20" s="4" t="s">
        <v>6</v>
      </c>
      <c r="AC20" s="20" t="s">
        <v>106</v>
      </c>
      <c r="AD20" s="4" t="s">
        <v>482</v>
      </c>
    </row>
    <row r="21" spans="6:30" ht="17" customHeight="1" x14ac:dyDescent="0.2"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AA21" s="4" t="s">
        <v>383</v>
      </c>
      <c r="AB21" s="4" t="s">
        <v>6</v>
      </c>
      <c r="AC21" s="20" t="s">
        <v>106</v>
      </c>
      <c r="AD21" s="4" t="s">
        <v>482</v>
      </c>
    </row>
    <row r="22" spans="6:30" ht="17" customHeight="1" x14ac:dyDescent="0.2"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AA22" s="4" t="s">
        <v>360</v>
      </c>
      <c r="AB22" s="4" t="s">
        <v>400</v>
      </c>
      <c r="AC22" s="20" t="s">
        <v>135</v>
      </c>
      <c r="AD22" s="4" t="s">
        <v>501</v>
      </c>
    </row>
    <row r="23" spans="6:30" ht="17" customHeight="1" x14ac:dyDescent="0.2"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AA23" s="4" t="s">
        <v>361</v>
      </c>
      <c r="AB23" s="4" t="s">
        <v>400</v>
      </c>
      <c r="AC23" s="20" t="s">
        <v>106</v>
      </c>
      <c r="AD23" s="4" t="s">
        <v>501</v>
      </c>
    </row>
    <row r="24" spans="6:30" ht="17" customHeight="1" x14ac:dyDescent="0.2"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AA24" s="4" t="s">
        <v>362</v>
      </c>
      <c r="AB24" s="4" t="s">
        <v>400</v>
      </c>
      <c r="AC24" s="20" t="s">
        <v>106</v>
      </c>
      <c r="AD24" s="4" t="s">
        <v>501</v>
      </c>
    </row>
    <row r="25" spans="6:30" ht="17" customHeight="1" x14ac:dyDescent="0.2"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AA25" s="4" t="s">
        <v>363</v>
      </c>
      <c r="AB25" s="4" t="s">
        <v>400</v>
      </c>
      <c r="AC25" s="20" t="s">
        <v>106</v>
      </c>
      <c r="AD25" s="4" t="s">
        <v>501</v>
      </c>
    </row>
    <row r="26" spans="6:30" ht="17" customHeight="1" x14ac:dyDescent="0.2"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AA26" s="4" t="s">
        <v>364</v>
      </c>
      <c r="AB26" s="4" t="s">
        <v>241</v>
      </c>
      <c r="AC26" s="20" t="s">
        <v>135</v>
      </c>
      <c r="AD26" s="4" t="s">
        <v>481</v>
      </c>
    </row>
    <row r="27" spans="6:30" ht="17" customHeight="1" x14ac:dyDescent="0.2"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AA27" s="4" t="s">
        <v>365</v>
      </c>
      <c r="AB27" s="4" t="s">
        <v>241</v>
      </c>
      <c r="AC27" s="20" t="s">
        <v>106</v>
      </c>
      <c r="AD27" s="4" t="s">
        <v>482</v>
      </c>
    </row>
    <row r="28" spans="6:30" ht="17" customHeight="1" x14ac:dyDescent="0.2"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AA28" s="4" t="s">
        <v>366</v>
      </c>
      <c r="AB28" s="4" t="s">
        <v>241</v>
      </c>
      <c r="AC28" s="20" t="s">
        <v>135</v>
      </c>
      <c r="AD28" s="4" t="s">
        <v>481</v>
      </c>
    </row>
    <row r="29" spans="6:30" ht="17" customHeight="1" x14ac:dyDescent="0.2"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AA29" s="4" t="s">
        <v>367</v>
      </c>
      <c r="AB29" s="4" t="s">
        <v>241</v>
      </c>
      <c r="AC29" s="20" t="s">
        <v>106</v>
      </c>
      <c r="AD29" s="4" t="s">
        <v>482</v>
      </c>
    </row>
    <row r="30" spans="6:30" ht="17" customHeight="1" x14ac:dyDescent="0.2"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</row>
    <row r="31" spans="6:30" ht="16" customHeight="1" x14ac:dyDescent="0.2"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</row>
    <row r="32" spans="6:30" ht="16" customHeight="1" x14ac:dyDescent="0.2"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</row>
    <row r="33" spans="6:25" ht="16" customHeight="1" x14ac:dyDescent="0.2"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</row>
    <row r="34" spans="6:25" ht="16" customHeight="1" x14ac:dyDescent="0.2"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</row>
    <row r="35" spans="6:25" ht="16" customHeight="1" x14ac:dyDescent="0.2"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</row>
    <row r="36" spans="6:25" ht="16" customHeight="1" x14ac:dyDescent="0.2"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</row>
    <row r="37" spans="6:25" x14ac:dyDescent="0.2"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</row>
    <row r="38" spans="6:25" x14ac:dyDescent="0.2"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</row>
    <row r="65" spans="6:25" x14ac:dyDescent="0.2"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6:25" x14ac:dyDescent="0.2"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6:25" x14ac:dyDescent="0.2"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6:25" x14ac:dyDescent="0.2"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6:25" x14ac:dyDescent="0.2"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6:25" x14ac:dyDescent="0.2"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6:25" x14ac:dyDescent="0.2"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6:25" x14ac:dyDescent="0.2"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6:25" x14ac:dyDescent="0.2"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6:25" x14ac:dyDescent="0.2"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6:25" x14ac:dyDescent="0.2"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6:25" x14ac:dyDescent="0.2"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6:25" x14ac:dyDescent="0.2"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6:25" x14ac:dyDescent="0.2"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6:25" x14ac:dyDescent="0.2"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6:25" x14ac:dyDescent="0.2"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6:25" x14ac:dyDescent="0.2"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6:25" x14ac:dyDescent="0.2"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6:25" x14ac:dyDescent="0.2"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6:25" x14ac:dyDescent="0.2"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6:25" x14ac:dyDescent="0.2"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6:25" x14ac:dyDescent="0.2"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6:25" x14ac:dyDescent="0.2"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6:25" x14ac:dyDescent="0.2"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</sheetData>
  <mergeCells count="34">
    <mergeCell ref="F31:Y31"/>
    <mergeCell ref="F32:Y32"/>
    <mergeCell ref="F38:Y38"/>
    <mergeCell ref="F33:Y33"/>
    <mergeCell ref="F34:Y34"/>
    <mergeCell ref="F35:Y35"/>
    <mergeCell ref="F36:Y36"/>
    <mergeCell ref="F37:Y37"/>
    <mergeCell ref="F26:Y26"/>
    <mergeCell ref="F27:Y27"/>
    <mergeCell ref="F28:Y28"/>
    <mergeCell ref="F29:Y29"/>
    <mergeCell ref="F30:Y30"/>
    <mergeCell ref="F21:Y21"/>
    <mergeCell ref="F22:Y22"/>
    <mergeCell ref="F23:Y23"/>
    <mergeCell ref="F24:Y24"/>
    <mergeCell ref="F25:Y25"/>
    <mergeCell ref="F16:Y16"/>
    <mergeCell ref="F17:Y17"/>
    <mergeCell ref="F18:Y18"/>
    <mergeCell ref="F19:Y19"/>
    <mergeCell ref="F20:Y20"/>
    <mergeCell ref="F13:Y13"/>
    <mergeCell ref="F14:Y14"/>
    <mergeCell ref="F15:Y15"/>
    <mergeCell ref="F12:Y12"/>
    <mergeCell ref="F10:Y11"/>
    <mergeCell ref="AA1:AD1"/>
    <mergeCell ref="F1:Y1"/>
    <mergeCell ref="AF1:AH1"/>
    <mergeCell ref="F8:Y9"/>
    <mergeCell ref="A1:D1"/>
    <mergeCell ref="C6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A4E9-4859-AC43-9D7A-ACF8B721F8D3}">
  <dimension ref="A1:AF35"/>
  <sheetViews>
    <sheetView workbookViewId="0">
      <pane ySplit="2" topLeftCell="A3" activePane="bottomLeft" state="frozen"/>
      <selection pane="bottomLeft" activeCell="F19" sqref="F19:Q19"/>
    </sheetView>
  </sheetViews>
  <sheetFormatPr baseColWidth="10" defaultRowHeight="16" x14ac:dyDescent="0.2"/>
  <cols>
    <col min="1" max="1" width="2.83203125" style="12" bestFit="1" customWidth="1"/>
    <col min="2" max="2" width="4.83203125" style="12" customWidth="1"/>
    <col min="3" max="3" width="7" style="12" bestFit="1" customWidth="1"/>
    <col min="4" max="4" width="7" style="12" customWidth="1"/>
    <col min="5" max="5" width="10.83203125" style="12"/>
    <col min="6" max="6" width="3.33203125" style="12" bestFit="1" customWidth="1"/>
    <col min="7" max="7" width="8.6640625" style="12" bestFit="1" customWidth="1"/>
    <col min="8" max="8" width="8.33203125" style="12" customWidth="1"/>
    <col min="9" max="9" width="9.1640625" style="12" bestFit="1" customWidth="1"/>
    <col min="10" max="10" width="7.83203125" style="12" bestFit="1" customWidth="1"/>
    <col min="11" max="11" width="5.1640625" style="12" bestFit="1" customWidth="1"/>
    <col min="12" max="12" width="12.6640625" style="12" bestFit="1" customWidth="1"/>
    <col min="13" max="13" width="7.33203125" style="12" bestFit="1" customWidth="1"/>
    <col min="14" max="14" width="8.83203125" style="12" customWidth="1"/>
    <col min="15" max="15" width="9.6640625" style="12" customWidth="1"/>
    <col min="16" max="16" width="9.33203125" style="12" customWidth="1"/>
    <col min="17" max="17" width="7.1640625" style="12" bestFit="1" customWidth="1"/>
    <col min="18" max="18" width="10.83203125" style="12"/>
    <col min="19" max="19" width="19.83203125" style="24" bestFit="1" customWidth="1"/>
    <col min="20" max="20" width="9.6640625" style="24" bestFit="1" customWidth="1"/>
    <col min="21" max="21" width="8.5" style="24" bestFit="1" customWidth="1"/>
    <col min="22" max="22" width="5.83203125" style="24" bestFit="1" customWidth="1"/>
    <col min="23" max="23" width="10.83203125" style="12"/>
    <col min="24" max="24" width="4.5" style="12" customWidth="1"/>
    <col min="25" max="25" width="6.6640625" style="12" customWidth="1"/>
    <col min="26" max="26" width="4.83203125" style="12" bestFit="1" customWidth="1"/>
    <col min="27" max="27" width="7.83203125" style="12" bestFit="1" customWidth="1"/>
    <col min="28" max="28" width="7.5" style="12" bestFit="1" customWidth="1"/>
    <col min="29" max="29" width="5" style="12" bestFit="1" customWidth="1"/>
    <col min="30" max="30" width="10.83203125" style="12"/>
    <col min="31" max="31" width="6.5" style="12" customWidth="1"/>
    <col min="32" max="32" width="8.1640625" style="12" bestFit="1" customWidth="1"/>
    <col min="33" max="16384" width="10.83203125" style="12"/>
  </cols>
  <sheetData>
    <row r="1" spans="1:32" ht="24" customHeight="1" x14ac:dyDescent="0.2">
      <c r="A1" s="164" t="s">
        <v>153</v>
      </c>
      <c r="B1" s="152"/>
      <c r="C1" s="152"/>
      <c r="D1" s="152"/>
      <c r="F1" s="160" t="s">
        <v>88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S1" s="160" t="s">
        <v>633</v>
      </c>
      <c r="T1" s="160"/>
      <c r="U1" s="160"/>
      <c r="V1" s="160"/>
      <c r="X1" s="154" t="s">
        <v>270</v>
      </c>
      <c r="Y1" s="154"/>
      <c r="Z1" s="154"/>
      <c r="AA1" s="154"/>
      <c r="AB1" s="154"/>
      <c r="AC1" s="154"/>
      <c r="AE1" s="154" t="s">
        <v>391</v>
      </c>
      <c r="AF1" s="154"/>
    </row>
    <row r="2" spans="1:32" ht="38" customHeight="1" x14ac:dyDescent="0.2">
      <c r="A2" s="2" t="s">
        <v>73</v>
      </c>
      <c r="B2" s="2" t="s">
        <v>68</v>
      </c>
      <c r="C2" s="2" t="s">
        <v>339</v>
      </c>
      <c r="D2" s="2" t="s">
        <v>105</v>
      </c>
      <c r="F2" s="2" t="s">
        <v>73</v>
      </c>
      <c r="G2" s="2" t="s">
        <v>298</v>
      </c>
      <c r="H2" s="2" t="s">
        <v>190</v>
      </c>
      <c r="I2" s="2" t="s">
        <v>195</v>
      </c>
      <c r="J2" s="2" t="s">
        <v>197</v>
      </c>
      <c r="K2" s="2" t="s">
        <v>198</v>
      </c>
      <c r="L2" s="2" t="s">
        <v>199</v>
      </c>
      <c r="M2" s="2" t="s">
        <v>469</v>
      </c>
      <c r="N2" s="2" t="s">
        <v>297</v>
      </c>
      <c r="O2" s="2" t="s">
        <v>96</v>
      </c>
      <c r="P2" s="2" t="s">
        <v>97</v>
      </c>
      <c r="Q2" s="2" t="s">
        <v>201</v>
      </c>
      <c r="S2" s="2" t="s">
        <v>81</v>
      </c>
      <c r="T2" s="2" t="s">
        <v>269</v>
      </c>
      <c r="U2" s="2" t="s">
        <v>229</v>
      </c>
      <c r="V2" s="2" t="s">
        <v>72</v>
      </c>
      <c r="X2" s="2" t="s">
        <v>73</v>
      </c>
      <c r="Y2" s="2" t="s">
        <v>234</v>
      </c>
      <c r="Z2" s="2" t="s">
        <v>68</v>
      </c>
      <c r="AA2" s="2" t="s">
        <v>191</v>
      </c>
      <c r="AB2" s="2" t="s">
        <v>263</v>
      </c>
      <c r="AC2" s="2" t="s">
        <v>271</v>
      </c>
      <c r="AE2" s="2" t="s">
        <v>234</v>
      </c>
      <c r="AF2" s="2" t="s">
        <v>392</v>
      </c>
    </row>
    <row r="3" spans="1:32" s="6" customFormat="1" ht="17" x14ac:dyDescent="0.2">
      <c r="A3" s="20">
        <v>1</v>
      </c>
      <c r="B3" s="4" t="s">
        <v>57</v>
      </c>
      <c r="C3" s="20" t="s">
        <v>106</v>
      </c>
      <c r="D3" s="20" t="s">
        <v>106</v>
      </c>
      <c r="F3" s="20">
        <v>1</v>
      </c>
      <c r="G3" s="15">
        <v>46085</v>
      </c>
      <c r="H3" s="4" t="s">
        <v>248</v>
      </c>
      <c r="I3" s="4" t="s">
        <v>203</v>
      </c>
      <c r="J3" s="4" t="s">
        <v>204</v>
      </c>
      <c r="K3" s="20" t="s">
        <v>205</v>
      </c>
      <c r="L3" s="4" t="s">
        <v>211</v>
      </c>
      <c r="M3" s="20">
        <v>16</v>
      </c>
      <c r="N3" s="20">
        <v>1</v>
      </c>
      <c r="O3" s="4" t="s">
        <v>254</v>
      </c>
      <c r="P3" s="4" t="s">
        <v>254</v>
      </c>
      <c r="Q3" s="20">
        <v>2</v>
      </c>
      <c r="S3" s="4" t="s">
        <v>346</v>
      </c>
      <c r="T3" s="4" t="s">
        <v>6</v>
      </c>
      <c r="U3" s="20" t="s">
        <v>106</v>
      </c>
      <c r="V3" s="4" t="s">
        <v>68</v>
      </c>
      <c r="X3" s="5" t="s">
        <v>82</v>
      </c>
      <c r="Y3" s="4" t="s">
        <v>178</v>
      </c>
      <c r="Z3" s="4" t="s">
        <v>178</v>
      </c>
      <c r="AA3" s="4" t="s">
        <v>178</v>
      </c>
      <c r="AB3" s="4" t="s">
        <v>83</v>
      </c>
      <c r="AC3" s="4" t="s">
        <v>83</v>
      </c>
      <c r="AE3" s="20">
        <v>1</v>
      </c>
      <c r="AF3" s="34">
        <v>46091</v>
      </c>
    </row>
    <row r="4" spans="1:32" s="6" customFormat="1" ht="17" x14ac:dyDescent="0.2">
      <c r="F4" s="20">
        <v>2</v>
      </c>
      <c r="G4" s="15">
        <v>45997</v>
      </c>
      <c r="H4" s="4" t="s">
        <v>249</v>
      </c>
      <c r="I4" s="4" t="s">
        <v>207</v>
      </c>
      <c r="J4" s="4" t="s">
        <v>208</v>
      </c>
      <c r="K4" s="20" t="s">
        <v>209</v>
      </c>
      <c r="L4" s="4" t="s">
        <v>210</v>
      </c>
      <c r="M4" s="20">
        <v>14</v>
      </c>
      <c r="N4" s="20">
        <v>2</v>
      </c>
      <c r="O4" s="4" t="s">
        <v>255</v>
      </c>
      <c r="P4" s="4" t="s">
        <v>255</v>
      </c>
      <c r="Q4" s="20">
        <v>1</v>
      </c>
      <c r="S4" s="4" t="s">
        <v>347</v>
      </c>
      <c r="T4" s="4" t="s">
        <v>6</v>
      </c>
      <c r="U4" s="20" t="s">
        <v>106</v>
      </c>
      <c r="V4" s="4" t="s">
        <v>481</v>
      </c>
    </row>
    <row r="5" spans="1:32" s="6" customFormat="1" ht="17" x14ac:dyDescent="0.2">
      <c r="C5" s="162" t="s">
        <v>468</v>
      </c>
      <c r="D5" s="162"/>
      <c r="F5" s="20">
        <v>3</v>
      </c>
      <c r="G5" s="15">
        <v>46044</v>
      </c>
      <c r="H5" s="4" t="s">
        <v>250</v>
      </c>
      <c r="I5" s="4" t="s">
        <v>214</v>
      </c>
      <c r="J5" s="4" t="s">
        <v>215</v>
      </c>
      <c r="K5" s="20" t="s">
        <v>205</v>
      </c>
      <c r="L5" s="4" t="s">
        <v>216</v>
      </c>
      <c r="M5" s="20">
        <v>14</v>
      </c>
      <c r="N5" s="20">
        <v>3</v>
      </c>
      <c r="O5" s="4" t="s">
        <v>256</v>
      </c>
      <c r="P5" s="4" t="s">
        <v>256</v>
      </c>
      <c r="Q5" s="20">
        <v>5</v>
      </c>
      <c r="S5" s="4" t="s">
        <v>348</v>
      </c>
      <c r="T5" s="4" t="s">
        <v>6</v>
      </c>
      <c r="U5" s="20" t="s">
        <v>106</v>
      </c>
      <c r="V5" s="4" t="s">
        <v>481</v>
      </c>
    </row>
    <row r="6" spans="1:32" s="6" customFormat="1" ht="17" x14ac:dyDescent="0.2">
      <c r="C6" s="162"/>
      <c r="D6" s="162"/>
      <c r="F6" s="5" t="s">
        <v>82</v>
      </c>
      <c r="G6" s="4" t="s">
        <v>83</v>
      </c>
      <c r="H6" s="4" t="s">
        <v>83</v>
      </c>
      <c r="I6" s="4" t="s">
        <v>83</v>
      </c>
      <c r="J6" s="4" t="s">
        <v>83</v>
      </c>
      <c r="K6" s="4" t="s">
        <v>83</v>
      </c>
      <c r="L6" s="4" t="s">
        <v>83</v>
      </c>
      <c r="M6" s="4" t="s">
        <v>107</v>
      </c>
      <c r="N6" s="4" t="s">
        <v>83</v>
      </c>
      <c r="O6" s="4" t="s">
        <v>83</v>
      </c>
      <c r="P6" s="4" t="s">
        <v>83</v>
      </c>
      <c r="Q6" s="4" t="s">
        <v>178</v>
      </c>
      <c r="S6" s="4" t="s">
        <v>350</v>
      </c>
      <c r="T6" s="4" t="s">
        <v>6</v>
      </c>
      <c r="U6" s="20" t="s">
        <v>135</v>
      </c>
      <c r="V6" s="4" t="s">
        <v>481</v>
      </c>
    </row>
    <row r="7" spans="1:32" ht="17" x14ac:dyDescent="0.2">
      <c r="C7" s="162"/>
      <c r="D7" s="162"/>
      <c r="S7" s="4" t="s">
        <v>351</v>
      </c>
      <c r="T7" s="4" t="s">
        <v>6</v>
      </c>
      <c r="U7" s="20" t="s">
        <v>106</v>
      </c>
      <c r="V7" s="4" t="s">
        <v>481</v>
      </c>
    </row>
    <row r="8" spans="1:32" ht="17" x14ac:dyDescent="0.2">
      <c r="F8" s="159" t="s">
        <v>458</v>
      </c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S8" s="4" t="s">
        <v>352</v>
      </c>
      <c r="T8" s="4" t="s">
        <v>6</v>
      </c>
      <c r="U8" s="20" t="s">
        <v>135</v>
      </c>
      <c r="V8" s="4" t="s">
        <v>481</v>
      </c>
    </row>
    <row r="9" spans="1:32" ht="17" x14ac:dyDescent="0.2">
      <c r="F9" s="159" t="s">
        <v>459</v>
      </c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S9" s="4" t="s">
        <v>355</v>
      </c>
      <c r="T9" s="4" t="s">
        <v>6</v>
      </c>
      <c r="U9" s="20" t="s">
        <v>106</v>
      </c>
      <c r="V9" s="4" t="s">
        <v>482</v>
      </c>
    </row>
    <row r="10" spans="1:32" ht="17" x14ac:dyDescent="0.2">
      <c r="F10" s="159" t="s">
        <v>460</v>
      </c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S10" s="4" t="s">
        <v>393</v>
      </c>
      <c r="T10" s="4" t="s">
        <v>6</v>
      </c>
      <c r="U10" s="20" t="s">
        <v>135</v>
      </c>
      <c r="V10" s="4" t="s">
        <v>68</v>
      </c>
    </row>
    <row r="11" spans="1:32" ht="17" x14ac:dyDescent="0.2">
      <c r="F11" s="159" t="s">
        <v>461</v>
      </c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S11" s="4" t="s">
        <v>394</v>
      </c>
      <c r="T11" s="4" t="s">
        <v>6</v>
      </c>
      <c r="U11" s="20" t="s">
        <v>106</v>
      </c>
      <c r="V11" s="4" t="s">
        <v>68</v>
      </c>
    </row>
    <row r="12" spans="1:32" ht="17" x14ac:dyDescent="0.2"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S12" s="4" t="s">
        <v>395</v>
      </c>
      <c r="T12" s="4" t="s">
        <v>241</v>
      </c>
      <c r="U12" s="20" t="s">
        <v>135</v>
      </c>
      <c r="V12" s="4" t="s">
        <v>481</v>
      </c>
    </row>
    <row r="13" spans="1:32" ht="17" x14ac:dyDescent="0.2"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S13" s="4" t="s">
        <v>365</v>
      </c>
      <c r="T13" s="4" t="s">
        <v>241</v>
      </c>
      <c r="U13" s="20" t="s">
        <v>106</v>
      </c>
      <c r="V13" s="4" t="s">
        <v>482</v>
      </c>
    </row>
    <row r="14" spans="1:32" ht="17" x14ac:dyDescent="0.2"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S14" s="4" t="s">
        <v>470</v>
      </c>
      <c r="T14" s="4" t="s">
        <v>241</v>
      </c>
      <c r="U14" s="20" t="s">
        <v>135</v>
      </c>
      <c r="V14" s="4" t="s">
        <v>481</v>
      </c>
    </row>
    <row r="15" spans="1:32" ht="17" x14ac:dyDescent="0.2"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S15" s="4" t="s">
        <v>471</v>
      </c>
      <c r="T15" s="4" t="s">
        <v>241</v>
      </c>
      <c r="U15" s="20" t="s">
        <v>106</v>
      </c>
      <c r="V15" s="4" t="s">
        <v>482</v>
      </c>
    </row>
    <row r="16" spans="1:32" ht="17" x14ac:dyDescent="0.2"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S16" s="4" t="s">
        <v>396</v>
      </c>
      <c r="T16" s="4" t="s">
        <v>241</v>
      </c>
      <c r="U16" s="20" t="s">
        <v>106</v>
      </c>
      <c r="V16" s="4" t="s">
        <v>68</v>
      </c>
    </row>
    <row r="17" spans="6:22" x14ac:dyDescent="0.2"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</row>
    <row r="18" spans="6:22" x14ac:dyDescent="0.2"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S18" s="6"/>
      <c r="T18" s="6"/>
      <c r="U18" s="6"/>
      <c r="V18" s="1"/>
    </row>
    <row r="19" spans="6:22" x14ac:dyDescent="0.2"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S19" s="6"/>
      <c r="T19" s="6"/>
      <c r="U19" s="6"/>
    </row>
    <row r="20" spans="6:22" x14ac:dyDescent="0.2"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S20" s="6"/>
      <c r="T20" s="6"/>
      <c r="U20" s="6"/>
    </row>
    <row r="21" spans="6:22" x14ac:dyDescent="0.2"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</row>
    <row r="22" spans="6:22" x14ac:dyDescent="0.2"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</row>
    <row r="23" spans="6:22" x14ac:dyDescent="0.2"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</row>
    <row r="24" spans="6:22" x14ac:dyDescent="0.2"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</row>
    <row r="25" spans="6:22" x14ac:dyDescent="0.2"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</row>
    <row r="26" spans="6:22" x14ac:dyDescent="0.2"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6:22" x14ac:dyDescent="0.2"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</row>
    <row r="28" spans="6:22" x14ac:dyDescent="0.2"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</row>
    <row r="29" spans="6:22" x14ac:dyDescent="0.2"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</row>
    <row r="30" spans="6:22" x14ac:dyDescent="0.2"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</row>
    <row r="31" spans="6:22" x14ac:dyDescent="0.2"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</row>
    <row r="32" spans="6:22" x14ac:dyDescent="0.2"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</row>
    <row r="33" spans="6:17" x14ac:dyDescent="0.2"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</row>
    <row r="34" spans="6:17" x14ac:dyDescent="0.2"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</row>
    <row r="35" spans="6:17" x14ac:dyDescent="0.2"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</row>
  </sheetData>
  <mergeCells count="34">
    <mergeCell ref="A1:D1"/>
    <mergeCell ref="C5:D7"/>
    <mergeCell ref="AE1:AF1"/>
    <mergeCell ref="F8:Q8"/>
    <mergeCell ref="F9:Q9"/>
    <mergeCell ref="F10:Q10"/>
    <mergeCell ref="F1:Q1"/>
    <mergeCell ref="X1:AC1"/>
    <mergeCell ref="S1:V1"/>
    <mergeCell ref="F11:Q11"/>
    <mergeCell ref="F12:Q12"/>
    <mergeCell ref="F13:Q13"/>
    <mergeCell ref="F14:Q14"/>
    <mergeCell ref="F15:Q15"/>
    <mergeCell ref="F16:Q16"/>
    <mergeCell ref="F17:Q17"/>
    <mergeCell ref="F18:Q18"/>
    <mergeCell ref="F19:Q19"/>
    <mergeCell ref="F20:Q20"/>
    <mergeCell ref="F21:Q21"/>
    <mergeCell ref="F22:Q22"/>
    <mergeCell ref="F23:Q23"/>
    <mergeCell ref="F24:Q24"/>
    <mergeCell ref="F25:Q25"/>
    <mergeCell ref="F26:Q26"/>
    <mergeCell ref="F27:Q27"/>
    <mergeCell ref="F28:Q28"/>
    <mergeCell ref="F29:Q29"/>
    <mergeCell ref="F30:Q30"/>
    <mergeCell ref="F31:Q31"/>
    <mergeCell ref="F32:Q32"/>
    <mergeCell ref="F33:Q33"/>
    <mergeCell ref="F34:Q34"/>
    <mergeCell ref="F35:Q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2296-A791-A64B-B829-746B6215BB98}">
  <dimension ref="A1:AS33"/>
  <sheetViews>
    <sheetView topLeftCell="U1" workbookViewId="0">
      <pane ySplit="2" topLeftCell="A3" activePane="bottomLeft" state="frozen"/>
      <selection pane="bottomLeft" activeCell="AH27" sqref="AH27"/>
    </sheetView>
  </sheetViews>
  <sheetFormatPr baseColWidth="10" defaultRowHeight="16" x14ac:dyDescent="0.2"/>
  <cols>
    <col min="1" max="1" width="3.33203125" style="12" bestFit="1" customWidth="1"/>
    <col min="2" max="2" width="4.1640625" style="12" bestFit="1" customWidth="1"/>
    <col min="3" max="3" width="14.33203125" style="12" bestFit="1" customWidth="1"/>
    <col min="4" max="4" width="9.1640625" style="12" bestFit="1" customWidth="1"/>
    <col min="5" max="5" width="10.33203125" style="12" bestFit="1" customWidth="1"/>
    <col min="6" max="6" width="6.5" style="12" bestFit="1" customWidth="1"/>
    <col min="7" max="7" width="10.83203125" style="12"/>
    <col min="8" max="8" width="3.33203125" style="24" bestFit="1" customWidth="1"/>
    <col min="9" max="9" width="9.83203125" style="24" bestFit="1" customWidth="1"/>
    <col min="10" max="10" width="6.6640625" style="24" bestFit="1" customWidth="1"/>
    <col min="11" max="11" width="10.1640625" style="24" customWidth="1"/>
    <col min="12" max="12" width="5.33203125" style="24" customWidth="1"/>
    <col min="13" max="13" width="6" style="24" bestFit="1" customWidth="1"/>
    <col min="14" max="14" width="9.33203125" style="12" bestFit="1" customWidth="1"/>
    <col min="15" max="15" width="10.83203125" style="12"/>
    <col min="16" max="16" width="18.1640625" style="12" customWidth="1"/>
    <col min="17" max="17" width="8.1640625" style="12" bestFit="1" customWidth="1"/>
    <col min="18" max="18" width="6.6640625" style="12" bestFit="1" customWidth="1"/>
    <col min="19" max="20" width="10.1640625" style="12" customWidth="1"/>
    <col min="21" max="21" width="6.1640625" style="12" bestFit="1" customWidth="1"/>
    <col min="22" max="22" width="7.1640625" style="12" bestFit="1" customWidth="1"/>
    <col min="23" max="23" width="7.83203125" style="12" customWidth="1"/>
    <col min="24" max="24" width="9.83203125" style="12" bestFit="1" customWidth="1"/>
    <col min="25" max="25" width="3.33203125" style="12" bestFit="1" customWidth="1"/>
    <col min="26" max="26" width="8.1640625" style="12" bestFit="1" customWidth="1"/>
    <col min="27" max="27" width="10.5" style="12" bestFit="1" customWidth="1"/>
    <col min="28" max="28" width="7.1640625" style="12" bestFit="1" customWidth="1"/>
    <col min="29" max="29" width="3.33203125" style="12" bestFit="1" customWidth="1"/>
    <col min="30" max="30" width="9.83203125" style="12" bestFit="1" customWidth="1"/>
    <col min="31" max="31" width="6.6640625" style="12" bestFit="1" customWidth="1"/>
    <col min="32" max="32" width="4.83203125" style="12" bestFit="1" customWidth="1"/>
    <col min="33" max="33" width="7.1640625" style="12" bestFit="1" customWidth="1"/>
    <col min="34" max="34" width="9" style="12" customWidth="1"/>
    <col min="35" max="35" width="10.83203125" style="12"/>
    <col min="36" max="36" width="2.83203125" style="12" bestFit="1" customWidth="1"/>
    <col min="37" max="37" width="10.33203125" style="12" customWidth="1"/>
    <col min="38" max="38" width="10.83203125" style="12"/>
    <col min="39" max="39" width="3.33203125" style="12" bestFit="1" customWidth="1"/>
    <col min="40" max="40" width="13.33203125" style="12" bestFit="1" customWidth="1"/>
    <col min="41" max="41" width="8" style="12" customWidth="1"/>
    <col min="42" max="42" width="10.83203125" style="12"/>
    <col min="43" max="43" width="2.6640625" style="12" bestFit="1" customWidth="1"/>
    <col min="44" max="44" width="9.5" style="12" bestFit="1" customWidth="1"/>
    <col min="45" max="45" width="9.33203125" style="12" bestFit="1" customWidth="1"/>
    <col min="46" max="16384" width="10.83203125" style="12"/>
  </cols>
  <sheetData>
    <row r="1" spans="1:45" ht="31" customHeight="1" x14ac:dyDescent="0.2">
      <c r="A1" s="167" t="s">
        <v>152</v>
      </c>
      <c r="B1" s="167"/>
      <c r="C1" s="167"/>
      <c r="D1" s="167"/>
      <c r="E1" s="167"/>
      <c r="F1" s="167"/>
      <c r="H1" s="160" t="s">
        <v>634</v>
      </c>
      <c r="I1" s="160"/>
      <c r="J1" s="160"/>
      <c r="K1" s="160"/>
      <c r="L1" s="160"/>
      <c r="M1" s="160"/>
      <c r="N1" s="160"/>
      <c r="O1" s="13"/>
      <c r="P1" s="164" t="s">
        <v>222</v>
      </c>
      <c r="Q1" s="152"/>
      <c r="R1" s="152"/>
      <c r="S1" s="152"/>
      <c r="T1" s="152"/>
      <c r="U1" s="152"/>
      <c r="V1" s="152"/>
      <c r="W1" s="152"/>
      <c r="Y1" s="154" t="s">
        <v>484</v>
      </c>
      <c r="Z1" s="154"/>
      <c r="AA1" s="154"/>
      <c r="AC1" s="152" t="s">
        <v>180</v>
      </c>
      <c r="AD1" s="152"/>
      <c r="AE1" s="152"/>
      <c r="AF1" s="152"/>
      <c r="AG1" s="152"/>
      <c r="AH1" s="152"/>
      <c r="AJ1" s="161" t="s">
        <v>638</v>
      </c>
      <c r="AK1" s="160"/>
      <c r="AM1" s="161" t="s">
        <v>636</v>
      </c>
      <c r="AN1" s="160"/>
      <c r="AO1" s="160"/>
      <c r="AP1" s="149"/>
      <c r="AQ1" s="167" t="s">
        <v>637</v>
      </c>
      <c r="AR1" s="167"/>
      <c r="AS1" s="167"/>
    </row>
    <row r="2" spans="1:45" ht="34" x14ac:dyDescent="0.2">
      <c r="A2" s="2" t="s">
        <v>73</v>
      </c>
      <c r="B2" s="2" t="s">
        <v>174</v>
      </c>
      <c r="C2" s="2" t="s">
        <v>81</v>
      </c>
      <c r="D2" s="2" t="s">
        <v>404</v>
      </c>
      <c r="E2" s="2" t="s">
        <v>242</v>
      </c>
      <c r="F2" s="2" t="s">
        <v>105</v>
      </c>
      <c r="H2" s="2" t="s">
        <v>73</v>
      </c>
      <c r="I2" s="2" t="s">
        <v>151</v>
      </c>
      <c r="J2" s="2" t="s">
        <v>234</v>
      </c>
      <c r="K2" s="2" t="s">
        <v>516</v>
      </c>
      <c r="L2" s="2" t="s">
        <v>192</v>
      </c>
      <c r="M2" s="2" t="s">
        <v>105</v>
      </c>
      <c r="N2" s="2" t="s">
        <v>223</v>
      </c>
      <c r="P2" s="2" t="s">
        <v>232</v>
      </c>
      <c r="Q2" s="2" t="s">
        <v>443</v>
      </c>
      <c r="R2" s="2" t="s">
        <v>234</v>
      </c>
      <c r="S2" s="2" t="s">
        <v>336</v>
      </c>
      <c r="T2" s="2" t="s">
        <v>375</v>
      </c>
      <c r="U2" s="2" t="s">
        <v>442</v>
      </c>
      <c r="V2" s="2" t="s">
        <v>337</v>
      </c>
      <c r="W2" s="2" t="s">
        <v>376</v>
      </c>
      <c r="Y2" s="2" t="s">
        <v>73</v>
      </c>
      <c r="Z2" s="2" t="s">
        <v>443</v>
      </c>
      <c r="AA2" s="2" t="s">
        <v>81</v>
      </c>
      <c r="AC2" s="2" t="s">
        <v>73</v>
      </c>
      <c r="AD2" s="2" t="s">
        <v>151</v>
      </c>
      <c r="AE2" s="2" t="s">
        <v>234</v>
      </c>
      <c r="AF2" s="2" t="s">
        <v>68</v>
      </c>
      <c r="AG2" s="2" t="s">
        <v>233</v>
      </c>
      <c r="AH2" s="2" t="s">
        <v>446</v>
      </c>
      <c r="AJ2" s="2" t="s">
        <v>73</v>
      </c>
      <c r="AK2" s="2" t="s">
        <v>72</v>
      </c>
      <c r="AM2" s="2" t="s">
        <v>73</v>
      </c>
      <c r="AN2" s="2" t="s">
        <v>95</v>
      </c>
      <c r="AO2" s="2" t="s">
        <v>423</v>
      </c>
      <c r="AQ2" s="14" t="s">
        <v>73</v>
      </c>
      <c r="AR2" s="14" t="s">
        <v>635</v>
      </c>
      <c r="AS2" s="14" t="s">
        <v>151</v>
      </c>
    </row>
    <row r="3" spans="1:45" s="6" customFormat="1" ht="17" x14ac:dyDescent="0.2">
      <c r="A3" s="20">
        <v>1</v>
      </c>
      <c r="B3" s="10" t="s">
        <v>8</v>
      </c>
      <c r="C3" s="10" t="s">
        <v>9</v>
      </c>
      <c r="D3" s="29" t="s">
        <v>106</v>
      </c>
      <c r="E3" s="29" t="s">
        <v>135</v>
      </c>
      <c r="F3" s="20" t="s">
        <v>106</v>
      </c>
      <c r="H3" s="20">
        <v>1</v>
      </c>
      <c r="I3" s="20">
        <v>1</v>
      </c>
      <c r="J3" s="20">
        <v>1</v>
      </c>
      <c r="K3" s="20">
        <v>1</v>
      </c>
      <c r="L3" s="20">
        <v>17</v>
      </c>
      <c r="M3" s="20" t="s">
        <v>106</v>
      </c>
      <c r="N3" s="11" t="s">
        <v>57</v>
      </c>
      <c r="P3" s="4" t="s">
        <v>483</v>
      </c>
      <c r="Q3" s="20">
        <v>5</v>
      </c>
      <c r="R3" s="20">
        <v>3</v>
      </c>
      <c r="S3" s="34">
        <v>44634</v>
      </c>
      <c r="T3" s="36">
        <v>0.54236111111111107</v>
      </c>
      <c r="U3" s="20">
        <v>1</v>
      </c>
      <c r="V3" s="4"/>
      <c r="W3" s="4"/>
      <c r="Y3" s="20">
        <v>1</v>
      </c>
      <c r="Z3" s="20">
        <v>5</v>
      </c>
      <c r="AA3" s="4" t="s">
        <v>338</v>
      </c>
      <c r="AC3" s="32" t="s">
        <v>82</v>
      </c>
      <c r="AD3" s="20" t="s">
        <v>178</v>
      </c>
      <c r="AE3" s="20" t="s">
        <v>178</v>
      </c>
      <c r="AF3" s="20" t="s">
        <v>83</v>
      </c>
      <c r="AG3" s="20" t="s">
        <v>83</v>
      </c>
      <c r="AH3" s="35" t="s">
        <v>83</v>
      </c>
      <c r="AJ3" s="20">
        <v>1</v>
      </c>
      <c r="AK3" s="4" t="s">
        <v>639</v>
      </c>
      <c r="AM3" s="20">
        <v>1</v>
      </c>
      <c r="AN3" s="4" t="s">
        <v>251</v>
      </c>
      <c r="AO3" s="20">
        <v>1</v>
      </c>
      <c r="AQ3" s="27">
        <v>1</v>
      </c>
      <c r="AR3" s="29">
        <v>1</v>
      </c>
      <c r="AS3" s="27">
        <v>5</v>
      </c>
    </row>
    <row r="4" spans="1:45" s="6" customFormat="1" ht="17" x14ac:dyDescent="0.2">
      <c r="A4" s="20">
        <v>2</v>
      </c>
      <c r="B4" s="10" t="s">
        <v>10</v>
      </c>
      <c r="C4" s="10" t="s">
        <v>11</v>
      </c>
      <c r="D4" s="29" t="s">
        <v>106</v>
      </c>
      <c r="E4" s="29" t="s">
        <v>106</v>
      </c>
      <c r="F4" s="20" t="s">
        <v>106</v>
      </c>
      <c r="H4" s="20">
        <v>2</v>
      </c>
      <c r="I4" s="20">
        <v>1</v>
      </c>
      <c r="J4" s="20">
        <v>3</v>
      </c>
      <c r="K4" s="20">
        <v>1</v>
      </c>
      <c r="L4" s="20">
        <v>17</v>
      </c>
      <c r="M4" s="20" t="s">
        <v>135</v>
      </c>
      <c r="N4" s="11">
        <v>40000</v>
      </c>
      <c r="P4" s="20" t="s">
        <v>178</v>
      </c>
      <c r="Q4" s="20" t="s">
        <v>178</v>
      </c>
      <c r="R4" s="20" t="s">
        <v>178</v>
      </c>
      <c r="S4" s="20" t="s">
        <v>83</v>
      </c>
      <c r="T4" s="20" t="s">
        <v>83</v>
      </c>
      <c r="U4" s="20" t="s">
        <v>83</v>
      </c>
      <c r="V4" s="20" t="s">
        <v>83</v>
      </c>
      <c r="W4" s="20" t="s">
        <v>83</v>
      </c>
      <c r="Y4" s="5" t="s">
        <v>82</v>
      </c>
      <c r="Z4" s="4" t="s">
        <v>178</v>
      </c>
      <c r="AA4" s="4" t="s">
        <v>83</v>
      </c>
      <c r="AJ4" s="20">
        <v>2</v>
      </c>
      <c r="AK4" s="4" t="s">
        <v>359</v>
      </c>
      <c r="AM4" s="20">
        <v>2</v>
      </c>
      <c r="AN4" s="4" t="s">
        <v>252</v>
      </c>
      <c r="AO4" s="20">
        <v>1</v>
      </c>
      <c r="AQ4" s="27">
        <v>2</v>
      </c>
      <c r="AR4" s="151">
        <v>2</v>
      </c>
      <c r="AS4" s="27">
        <v>5</v>
      </c>
    </row>
    <row r="5" spans="1:45" s="6" customFormat="1" ht="17" x14ac:dyDescent="0.2">
      <c r="A5" s="20">
        <v>3</v>
      </c>
      <c r="B5" s="10" t="s">
        <v>12</v>
      </c>
      <c r="C5" s="10" t="s">
        <v>13</v>
      </c>
      <c r="D5" s="29" t="s">
        <v>106</v>
      </c>
      <c r="E5" s="29" t="s">
        <v>106</v>
      </c>
      <c r="F5" s="20" t="s">
        <v>106</v>
      </c>
      <c r="H5" s="20">
        <v>3</v>
      </c>
      <c r="I5" s="20">
        <v>1</v>
      </c>
      <c r="J5" s="20">
        <v>3</v>
      </c>
      <c r="K5" s="20">
        <v>1</v>
      </c>
      <c r="L5" s="20">
        <v>18</v>
      </c>
      <c r="M5" s="20" t="s">
        <v>106</v>
      </c>
      <c r="N5" s="11" t="s">
        <v>57</v>
      </c>
      <c r="AM5" s="20">
        <v>3</v>
      </c>
      <c r="AN5" s="4" t="s">
        <v>253</v>
      </c>
      <c r="AO5" s="20">
        <v>1</v>
      </c>
      <c r="AQ5" s="27">
        <v>3</v>
      </c>
      <c r="AR5" s="151">
        <v>3</v>
      </c>
      <c r="AS5" s="27">
        <v>5</v>
      </c>
    </row>
    <row r="6" spans="1:45" ht="17" x14ac:dyDescent="0.2">
      <c r="A6" s="20">
        <v>4</v>
      </c>
      <c r="B6" s="10" t="s">
        <v>14</v>
      </c>
      <c r="C6" s="10" t="s">
        <v>15</v>
      </c>
      <c r="D6" s="29" t="s">
        <v>106</v>
      </c>
      <c r="E6" s="29" t="s">
        <v>106</v>
      </c>
      <c r="F6" s="20" t="s">
        <v>106</v>
      </c>
      <c r="H6" s="20">
        <v>4</v>
      </c>
      <c r="I6" s="20">
        <v>2</v>
      </c>
      <c r="J6" s="20">
        <v>1</v>
      </c>
      <c r="K6" s="20">
        <v>4</v>
      </c>
      <c r="L6" s="20">
        <v>17</v>
      </c>
      <c r="M6" s="20" t="s">
        <v>106</v>
      </c>
      <c r="N6" s="11" t="s">
        <v>57</v>
      </c>
      <c r="P6" s="159" t="s">
        <v>517</v>
      </c>
      <c r="Q6" s="159"/>
      <c r="R6" s="159"/>
      <c r="S6" s="159"/>
      <c r="T6" s="159"/>
      <c r="U6" s="159"/>
      <c r="V6" s="159"/>
      <c r="W6" s="159"/>
      <c r="Y6" s="162" t="s">
        <v>518</v>
      </c>
      <c r="Z6" s="162"/>
      <c r="AA6" s="162"/>
      <c r="AM6" s="32">
        <v>4</v>
      </c>
      <c r="AN6" s="4" t="s">
        <v>124</v>
      </c>
      <c r="AO6" s="32">
        <v>2</v>
      </c>
      <c r="AQ6" s="27">
        <v>4</v>
      </c>
      <c r="AR6" s="151">
        <v>4</v>
      </c>
      <c r="AS6" s="27">
        <v>3</v>
      </c>
    </row>
    <row r="7" spans="1:45" ht="17" x14ac:dyDescent="0.2">
      <c r="A7" s="20">
        <v>5</v>
      </c>
      <c r="B7" s="10" t="s">
        <v>16</v>
      </c>
      <c r="C7" s="10" t="s">
        <v>17</v>
      </c>
      <c r="D7" s="29" t="s">
        <v>106</v>
      </c>
      <c r="E7" s="29" t="s">
        <v>135</v>
      </c>
      <c r="F7" s="20" t="s">
        <v>106</v>
      </c>
      <c r="H7" s="20">
        <v>5</v>
      </c>
      <c r="I7" s="20">
        <v>2</v>
      </c>
      <c r="J7" s="20">
        <v>2</v>
      </c>
      <c r="K7" s="20">
        <v>4</v>
      </c>
      <c r="L7" s="20">
        <v>17</v>
      </c>
      <c r="M7" s="20" t="s">
        <v>135</v>
      </c>
      <c r="N7" s="11" t="s">
        <v>57</v>
      </c>
      <c r="P7" s="159"/>
      <c r="Q7" s="159"/>
      <c r="R7" s="159"/>
      <c r="S7" s="159"/>
      <c r="T7" s="159"/>
      <c r="U7" s="159"/>
      <c r="V7" s="159"/>
      <c r="W7" s="159"/>
      <c r="Y7" s="162"/>
      <c r="Z7" s="162"/>
      <c r="AA7" s="162"/>
      <c r="AM7" s="20">
        <v>5</v>
      </c>
      <c r="AN7" s="150" t="s">
        <v>221</v>
      </c>
      <c r="AO7" s="20">
        <v>2</v>
      </c>
      <c r="AQ7" s="27">
        <v>5</v>
      </c>
      <c r="AR7" s="151">
        <v>4</v>
      </c>
      <c r="AS7" s="27">
        <v>4</v>
      </c>
    </row>
    <row r="8" spans="1:45" ht="17" x14ac:dyDescent="0.2">
      <c r="A8" s="20">
        <v>6</v>
      </c>
      <c r="B8" s="10" t="s">
        <v>175</v>
      </c>
      <c r="C8" s="10" t="s">
        <v>177</v>
      </c>
      <c r="D8" s="29" t="s">
        <v>135</v>
      </c>
      <c r="E8" s="29" t="s">
        <v>135</v>
      </c>
      <c r="F8" s="20" t="s">
        <v>106</v>
      </c>
      <c r="H8" s="20">
        <v>6</v>
      </c>
      <c r="I8" s="20">
        <v>2</v>
      </c>
      <c r="J8" s="20">
        <v>2</v>
      </c>
      <c r="K8" s="20">
        <v>5</v>
      </c>
      <c r="L8" s="20">
        <v>17</v>
      </c>
      <c r="M8" s="20" t="s">
        <v>106</v>
      </c>
      <c r="N8" s="11" t="s">
        <v>57</v>
      </c>
      <c r="P8" s="159" t="s">
        <v>571</v>
      </c>
      <c r="Q8" s="159"/>
      <c r="R8" s="159"/>
      <c r="S8" s="159"/>
      <c r="T8" s="159"/>
      <c r="U8" s="159"/>
      <c r="V8" s="159"/>
      <c r="W8" s="159"/>
      <c r="Y8" s="162"/>
      <c r="Z8" s="162"/>
      <c r="AA8" s="162"/>
      <c r="AQ8" s="27">
        <v>6</v>
      </c>
      <c r="AR8" s="151">
        <v>5</v>
      </c>
      <c r="AS8" s="27">
        <v>1</v>
      </c>
    </row>
    <row r="9" spans="1:45" ht="17" x14ac:dyDescent="0.2">
      <c r="A9" s="20">
        <v>7</v>
      </c>
      <c r="B9" s="4" t="s">
        <v>176</v>
      </c>
      <c r="C9" s="4" t="s">
        <v>179</v>
      </c>
      <c r="D9" s="20" t="s">
        <v>135</v>
      </c>
      <c r="E9" s="20" t="s">
        <v>135</v>
      </c>
      <c r="F9" s="20" t="s">
        <v>135</v>
      </c>
      <c r="H9" s="32" t="s">
        <v>82</v>
      </c>
      <c r="I9" s="20" t="s">
        <v>178</v>
      </c>
      <c r="J9" s="20" t="s">
        <v>178</v>
      </c>
      <c r="K9" s="20" t="s">
        <v>178</v>
      </c>
      <c r="L9" s="20" t="s">
        <v>83</v>
      </c>
      <c r="M9" s="20" t="s">
        <v>178</v>
      </c>
      <c r="N9" s="20" t="s">
        <v>268</v>
      </c>
      <c r="P9" s="159"/>
      <c r="Q9" s="159"/>
      <c r="R9" s="159"/>
      <c r="S9" s="159"/>
      <c r="T9" s="159"/>
      <c r="U9" s="159"/>
      <c r="V9" s="159"/>
      <c r="W9" s="159"/>
      <c r="Y9" s="162"/>
      <c r="Z9" s="162"/>
      <c r="AA9" s="162"/>
      <c r="AQ9" s="27">
        <v>7</v>
      </c>
      <c r="AR9" s="151">
        <v>5</v>
      </c>
      <c r="AS9" s="27">
        <v>2</v>
      </c>
    </row>
    <row r="10" spans="1:45" ht="17" x14ac:dyDescent="0.2">
      <c r="A10" s="32" t="s">
        <v>82</v>
      </c>
      <c r="B10" s="20" t="s">
        <v>83</v>
      </c>
      <c r="C10" s="20" t="s">
        <v>83</v>
      </c>
      <c r="D10" s="20" t="s">
        <v>83</v>
      </c>
      <c r="E10" s="20" t="s">
        <v>83</v>
      </c>
      <c r="F10" s="20" t="s">
        <v>107</v>
      </c>
      <c r="H10" s="1"/>
      <c r="I10" s="1"/>
      <c r="J10" s="1"/>
      <c r="K10" s="1"/>
      <c r="L10" s="1"/>
      <c r="M10" s="1"/>
      <c r="N10" s="25"/>
      <c r="P10" s="159"/>
      <c r="Q10" s="159"/>
      <c r="R10" s="159"/>
      <c r="S10" s="159"/>
      <c r="T10" s="159"/>
      <c r="U10" s="159"/>
      <c r="V10" s="159"/>
      <c r="W10" s="159"/>
      <c r="Y10" s="162"/>
      <c r="Z10" s="162"/>
      <c r="AA10" s="162"/>
      <c r="AQ10" s="27">
        <v>8</v>
      </c>
      <c r="AR10" s="151">
        <v>5</v>
      </c>
      <c r="AS10" s="27">
        <v>3</v>
      </c>
    </row>
    <row r="11" spans="1:45" ht="16" customHeight="1" x14ac:dyDescent="0.2">
      <c r="H11" s="13"/>
      <c r="I11" s="162" t="s">
        <v>526</v>
      </c>
      <c r="J11" s="13"/>
      <c r="K11" s="13"/>
      <c r="L11" s="13"/>
      <c r="M11" s="13"/>
      <c r="N11" s="13"/>
      <c r="P11" s="159"/>
      <c r="Q11" s="159"/>
      <c r="R11" s="159"/>
      <c r="S11" s="159"/>
      <c r="T11" s="159"/>
      <c r="U11" s="159"/>
      <c r="V11" s="159"/>
      <c r="W11" s="159"/>
      <c r="Y11" s="162"/>
      <c r="Z11" s="162"/>
      <c r="AA11" s="162"/>
      <c r="AQ11" s="27">
        <v>9</v>
      </c>
      <c r="AR11" s="151">
        <v>5</v>
      </c>
      <c r="AS11" s="27">
        <v>4</v>
      </c>
    </row>
    <row r="12" spans="1:45" s="13" customFormat="1" x14ac:dyDescent="0.2">
      <c r="E12" s="162" t="s">
        <v>432</v>
      </c>
      <c r="F12" s="162" t="s">
        <v>431</v>
      </c>
      <c r="I12" s="162"/>
      <c r="P12" s="159"/>
      <c r="Q12" s="159"/>
      <c r="R12" s="159"/>
      <c r="S12" s="159"/>
      <c r="T12" s="159"/>
      <c r="U12" s="159"/>
      <c r="V12" s="159"/>
      <c r="W12" s="159"/>
      <c r="Y12" s="162"/>
      <c r="Z12" s="162"/>
      <c r="AA12" s="162"/>
      <c r="AM12" s="12"/>
      <c r="AN12" s="12"/>
      <c r="AO12" s="12"/>
    </row>
    <row r="13" spans="1:45" x14ac:dyDescent="0.2">
      <c r="E13" s="162"/>
      <c r="F13" s="162"/>
      <c r="H13" s="13"/>
      <c r="I13" s="162"/>
      <c r="J13" s="13"/>
      <c r="K13" s="13"/>
      <c r="L13" s="13"/>
      <c r="M13" s="13"/>
      <c r="N13" s="13"/>
      <c r="P13" s="159"/>
      <c r="Q13" s="159"/>
      <c r="R13" s="159"/>
      <c r="S13" s="159"/>
      <c r="T13" s="159"/>
      <c r="U13" s="159"/>
      <c r="V13" s="159"/>
      <c r="W13" s="159"/>
      <c r="Y13" s="162"/>
      <c r="Z13" s="162"/>
      <c r="AA13" s="162"/>
    </row>
    <row r="14" spans="1:45" x14ac:dyDescent="0.2">
      <c r="E14" s="162"/>
      <c r="F14" s="162"/>
      <c r="H14" s="13"/>
      <c r="I14" s="162"/>
      <c r="J14" s="13"/>
      <c r="K14" s="13"/>
      <c r="L14" s="13"/>
      <c r="M14" s="13"/>
      <c r="N14" s="13"/>
      <c r="P14" s="159"/>
      <c r="Q14" s="159"/>
      <c r="R14" s="159"/>
      <c r="S14" s="159"/>
      <c r="T14" s="159"/>
      <c r="U14" s="159"/>
      <c r="V14" s="159"/>
      <c r="W14" s="159"/>
      <c r="Y14" s="162"/>
      <c r="Z14" s="162"/>
      <c r="AA14" s="162"/>
    </row>
    <row r="15" spans="1:45" x14ac:dyDescent="0.2">
      <c r="E15" s="162"/>
      <c r="F15" s="162"/>
      <c r="H15" s="13"/>
      <c r="I15" s="162"/>
      <c r="J15" s="13"/>
      <c r="K15" s="13"/>
      <c r="L15" s="13"/>
      <c r="M15" s="13"/>
      <c r="N15" s="13"/>
      <c r="P15" s="159"/>
      <c r="Q15" s="159"/>
      <c r="R15" s="159"/>
      <c r="S15" s="159"/>
      <c r="T15" s="159"/>
      <c r="U15" s="159"/>
      <c r="V15" s="159"/>
      <c r="W15" s="159"/>
    </row>
    <row r="16" spans="1:45" x14ac:dyDescent="0.2">
      <c r="H16" s="13"/>
      <c r="I16" s="162"/>
      <c r="J16" s="13"/>
      <c r="K16" s="13"/>
      <c r="L16" s="13"/>
      <c r="M16" s="13"/>
      <c r="N16" s="13"/>
      <c r="P16" s="159"/>
      <c r="Q16" s="159"/>
      <c r="R16" s="159"/>
      <c r="S16" s="159"/>
      <c r="T16" s="159"/>
      <c r="U16" s="159"/>
      <c r="V16" s="159"/>
      <c r="W16" s="159"/>
    </row>
    <row r="17" spans="8:23" x14ac:dyDescent="0.2">
      <c r="H17" s="13"/>
      <c r="I17" s="162"/>
      <c r="J17" s="13"/>
      <c r="K17" s="13"/>
      <c r="L17" s="13"/>
      <c r="M17" s="13"/>
      <c r="N17" s="13"/>
      <c r="P17" s="159"/>
      <c r="Q17" s="159"/>
      <c r="R17" s="159"/>
      <c r="S17" s="159"/>
      <c r="T17" s="159"/>
      <c r="U17" s="159"/>
      <c r="V17" s="159"/>
      <c r="W17" s="159"/>
    </row>
    <row r="18" spans="8:23" x14ac:dyDescent="0.2">
      <c r="H18" s="159"/>
      <c r="I18" s="159"/>
      <c r="J18" s="159"/>
      <c r="K18" s="159"/>
      <c r="L18" s="159"/>
      <c r="M18" s="159"/>
      <c r="N18" s="159"/>
      <c r="P18" s="159"/>
      <c r="Q18" s="159"/>
      <c r="R18" s="159"/>
      <c r="S18" s="159"/>
      <c r="T18" s="159"/>
      <c r="U18" s="159"/>
      <c r="V18" s="159"/>
      <c r="W18" s="159"/>
    </row>
    <row r="19" spans="8:23" ht="16" customHeight="1" x14ac:dyDescent="0.2">
      <c r="H19" s="162" t="s">
        <v>487</v>
      </c>
      <c r="I19" s="162"/>
      <c r="J19" s="162"/>
      <c r="K19" s="162"/>
      <c r="L19" s="162"/>
      <c r="M19" s="162"/>
      <c r="N19" s="162"/>
      <c r="P19" s="159"/>
      <c r="Q19" s="159"/>
      <c r="R19" s="159"/>
      <c r="S19" s="159"/>
      <c r="T19" s="159"/>
      <c r="U19" s="159"/>
      <c r="V19" s="159"/>
      <c r="W19" s="159"/>
    </row>
    <row r="20" spans="8:23" x14ac:dyDescent="0.2">
      <c r="H20" s="162"/>
      <c r="I20" s="162"/>
      <c r="J20" s="162"/>
      <c r="K20" s="162"/>
      <c r="L20" s="162"/>
      <c r="M20" s="162"/>
      <c r="N20" s="162"/>
    </row>
    <row r="21" spans="8:23" ht="16" customHeight="1" x14ac:dyDescent="0.2">
      <c r="H21" s="162"/>
      <c r="I21" s="162"/>
      <c r="J21" s="162"/>
      <c r="K21" s="162"/>
      <c r="L21" s="162"/>
      <c r="M21" s="162"/>
      <c r="N21" s="162"/>
    </row>
    <row r="22" spans="8:23" x14ac:dyDescent="0.2">
      <c r="H22" s="162"/>
      <c r="I22" s="162"/>
      <c r="J22" s="162"/>
      <c r="K22" s="162"/>
      <c r="L22" s="162"/>
      <c r="M22" s="162"/>
      <c r="N22" s="162"/>
    </row>
    <row r="23" spans="8:23" ht="16" customHeight="1" x14ac:dyDescent="0.2">
      <c r="H23" s="162"/>
      <c r="I23" s="162"/>
      <c r="J23" s="162"/>
      <c r="K23" s="162"/>
      <c r="L23" s="162"/>
      <c r="M23" s="162"/>
      <c r="N23" s="162"/>
    </row>
    <row r="24" spans="8:23" x14ac:dyDescent="0.2">
      <c r="H24" s="162"/>
      <c r="I24" s="162"/>
      <c r="J24" s="162"/>
      <c r="K24" s="162"/>
      <c r="L24" s="162"/>
      <c r="M24" s="162"/>
      <c r="N24" s="162"/>
    </row>
    <row r="25" spans="8:23" ht="16" customHeight="1" x14ac:dyDescent="0.2">
      <c r="H25" s="162"/>
      <c r="I25" s="162"/>
      <c r="J25" s="162"/>
      <c r="K25" s="162"/>
      <c r="L25" s="162"/>
      <c r="M25" s="162"/>
      <c r="N25" s="162"/>
    </row>
    <row r="26" spans="8:23" x14ac:dyDescent="0.2">
      <c r="H26" s="159"/>
      <c r="I26" s="159"/>
      <c r="J26" s="159"/>
      <c r="K26" s="159"/>
      <c r="L26" s="159"/>
      <c r="M26" s="159"/>
      <c r="N26" s="159"/>
    </row>
    <row r="27" spans="8:23" ht="16" customHeight="1" x14ac:dyDescent="0.2">
      <c r="H27" s="159" t="s">
        <v>485</v>
      </c>
      <c r="I27" s="159"/>
      <c r="J27" s="159"/>
      <c r="K27" s="159"/>
      <c r="L27" s="159"/>
      <c r="M27" s="159"/>
      <c r="N27" s="159"/>
    </row>
    <row r="28" spans="8:23" x14ac:dyDescent="0.2">
      <c r="H28" s="159"/>
      <c r="I28" s="159"/>
      <c r="J28" s="159"/>
      <c r="K28" s="159"/>
      <c r="L28" s="159"/>
      <c r="M28" s="159"/>
      <c r="N28" s="159"/>
    </row>
    <row r="29" spans="8:23" ht="16" customHeight="1" x14ac:dyDescent="0.2">
      <c r="H29" s="159" t="s">
        <v>486</v>
      </c>
      <c r="I29" s="159"/>
      <c r="J29" s="159"/>
      <c r="K29" s="159"/>
      <c r="L29" s="159"/>
      <c r="M29" s="159"/>
      <c r="N29" s="159"/>
    </row>
    <row r="30" spans="8:23" x14ac:dyDescent="0.2">
      <c r="H30" s="159"/>
      <c r="I30" s="159"/>
      <c r="J30" s="159"/>
      <c r="K30" s="159"/>
      <c r="L30" s="159"/>
      <c r="M30" s="159"/>
      <c r="N30" s="159"/>
    </row>
    <row r="31" spans="8:23" ht="16" customHeight="1" x14ac:dyDescent="0.2">
      <c r="H31" s="159" t="s">
        <v>488</v>
      </c>
      <c r="I31" s="159"/>
      <c r="J31" s="159"/>
      <c r="K31" s="159"/>
      <c r="L31" s="159"/>
      <c r="M31" s="159"/>
      <c r="N31" s="159"/>
    </row>
    <row r="32" spans="8:23" x14ac:dyDescent="0.2">
      <c r="H32" s="159"/>
      <c r="I32" s="159"/>
      <c r="J32" s="159"/>
      <c r="K32" s="159"/>
      <c r="L32" s="159"/>
      <c r="M32" s="159"/>
      <c r="N32" s="159"/>
    </row>
    <row r="33" spans="8:14" ht="16" customHeight="1" x14ac:dyDescent="0.2">
      <c r="H33" s="159" t="s">
        <v>525</v>
      </c>
      <c r="I33" s="159"/>
      <c r="J33" s="159"/>
      <c r="K33" s="159"/>
      <c r="L33" s="159"/>
      <c r="M33" s="159"/>
      <c r="N33" s="159"/>
    </row>
  </sheetData>
  <mergeCells count="36">
    <mergeCell ref="A1:F1"/>
    <mergeCell ref="E12:E15"/>
    <mergeCell ref="F12:F15"/>
    <mergeCell ref="Y1:AA1"/>
    <mergeCell ref="H1:N1"/>
    <mergeCell ref="P1:W1"/>
    <mergeCell ref="Y6:AA14"/>
    <mergeCell ref="P6:W6"/>
    <mergeCell ref="P7:W7"/>
    <mergeCell ref="P8:W8"/>
    <mergeCell ref="P9:W9"/>
    <mergeCell ref="P10:W10"/>
    <mergeCell ref="P11:W11"/>
    <mergeCell ref="P12:W12"/>
    <mergeCell ref="P13:W13"/>
    <mergeCell ref="H19:N25"/>
    <mergeCell ref="H33:N33"/>
    <mergeCell ref="H32:N32"/>
    <mergeCell ref="I11:I17"/>
    <mergeCell ref="P14:W14"/>
    <mergeCell ref="P15:W15"/>
    <mergeCell ref="P16:W16"/>
    <mergeCell ref="P17:W17"/>
    <mergeCell ref="P18:W18"/>
    <mergeCell ref="H31:N31"/>
    <mergeCell ref="H18:N18"/>
    <mergeCell ref="H26:N26"/>
    <mergeCell ref="H27:N27"/>
    <mergeCell ref="H28:N28"/>
    <mergeCell ref="H29:N29"/>
    <mergeCell ref="H30:N30"/>
    <mergeCell ref="AJ1:AK1"/>
    <mergeCell ref="AQ1:AS1"/>
    <mergeCell ref="AM1:AO1"/>
    <mergeCell ref="AC1:AH1"/>
    <mergeCell ref="P19:W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4537-3A4B-B54D-B2E2-8DA6511D0B04}">
  <sheetPr codeName="Sheet2"/>
  <dimension ref="A1:AN33"/>
  <sheetViews>
    <sheetView topLeftCell="T1" workbookViewId="0">
      <pane ySplit="2" topLeftCell="A3" activePane="bottomLeft" state="frozen"/>
      <selection pane="bottomLeft" activeCell="AL20" sqref="AL20"/>
    </sheetView>
  </sheetViews>
  <sheetFormatPr baseColWidth="10" defaultRowHeight="16" x14ac:dyDescent="0.2"/>
  <cols>
    <col min="1" max="1" width="3.33203125" style="1" bestFit="1" customWidth="1"/>
    <col min="2" max="2" width="9.83203125" style="1" bestFit="1" customWidth="1"/>
    <col min="3" max="3" width="6.6640625" style="1" bestFit="1" customWidth="1"/>
    <col min="4" max="4" width="8.1640625" style="1" bestFit="1" customWidth="1"/>
    <col min="5" max="5" width="6.83203125" style="1" bestFit="1" customWidth="1"/>
    <col min="6" max="6" width="11.83203125" style="1" bestFit="1" customWidth="1"/>
    <col min="7" max="7" width="9.33203125" style="1" bestFit="1" customWidth="1"/>
    <col min="8" max="8" width="10.5" style="1" customWidth="1"/>
    <col min="9" max="9" width="7.33203125" style="1" bestFit="1" customWidth="1"/>
    <col min="10" max="10" width="10.83203125" style="1"/>
    <col min="11" max="11" width="3.33203125" style="1" bestFit="1" customWidth="1"/>
    <col min="12" max="12" width="5.6640625" style="1" customWidth="1"/>
    <col min="13" max="15" width="10.83203125" style="1"/>
    <col min="16" max="16" width="12.1640625" style="1" customWidth="1"/>
    <col min="17" max="17" width="7.33203125" style="1" bestFit="1" customWidth="1"/>
    <col min="18" max="18" width="10.83203125" style="1"/>
    <col min="19" max="19" width="3.5" style="1" customWidth="1"/>
    <col min="20" max="20" width="12.33203125" style="1" customWidth="1"/>
    <col min="21" max="21" width="8.83203125" style="1" customWidth="1"/>
    <col min="22" max="22" width="7.5" style="1" bestFit="1" customWidth="1"/>
    <col min="23" max="23" width="8" style="1" customWidth="1"/>
    <col min="24" max="24" width="6.6640625" style="1" bestFit="1" customWidth="1"/>
    <col min="25" max="25" width="7.83203125" style="1" bestFit="1" customWidth="1"/>
    <col min="26" max="26" width="7.1640625" style="1" customWidth="1"/>
    <col min="27" max="27" width="9.6640625" style="1" customWidth="1"/>
    <col min="28" max="28" width="8.33203125" style="1" bestFit="1" customWidth="1"/>
    <col min="29" max="29" width="7.33203125" style="1" bestFit="1" customWidth="1"/>
    <col min="30" max="30" width="10.83203125" style="28"/>
    <col min="31" max="31" width="4.33203125" style="28" customWidth="1"/>
    <col min="32" max="32" width="6.83203125" style="28" bestFit="1" customWidth="1"/>
    <col min="33" max="33" width="6.5" style="28" bestFit="1" customWidth="1"/>
    <col min="34" max="34" width="10.1640625" style="28" bestFit="1" customWidth="1"/>
    <col min="35" max="35" width="5.1640625" style="28" bestFit="1" customWidth="1"/>
    <col min="36" max="36" width="10.83203125" style="1"/>
    <col min="37" max="37" width="7.6640625" style="1" customWidth="1"/>
    <col min="38" max="38" width="9.6640625" style="1" customWidth="1"/>
    <col min="39" max="39" width="9.33203125" style="1" bestFit="1" customWidth="1"/>
    <col min="40" max="40" width="6.83203125" style="1" bestFit="1" customWidth="1"/>
    <col min="41" max="16384" width="10.83203125" style="1"/>
  </cols>
  <sheetData>
    <row r="1" spans="1:40" ht="30" customHeight="1" x14ac:dyDescent="0.2">
      <c r="A1" s="164" t="s">
        <v>340</v>
      </c>
      <c r="B1" s="152"/>
      <c r="C1" s="152"/>
      <c r="D1" s="152"/>
      <c r="E1" s="152"/>
      <c r="F1" s="152"/>
      <c r="G1" s="152"/>
      <c r="H1" s="152"/>
      <c r="I1" s="152"/>
      <c r="K1" s="169" t="s">
        <v>293</v>
      </c>
      <c r="L1" s="170"/>
      <c r="M1" s="170"/>
      <c r="N1" s="170"/>
      <c r="O1" s="170"/>
      <c r="P1" s="170"/>
      <c r="Q1" s="171"/>
      <c r="S1" s="164" t="s">
        <v>399</v>
      </c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"/>
      <c r="AE1" s="152" t="s">
        <v>70</v>
      </c>
      <c r="AF1" s="152"/>
      <c r="AG1" s="152"/>
      <c r="AH1" s="152"/>
      <c r="AI1" s="163"/>
      <c r="AK1" s="160" t="s">
        <v>412</v>
      </c>
      <c r="AL1" s="160"/>
      <c r="AM1" s="160"/>
      <c r="AN1" s="168"/>
    </row>
    <row r="2" spans="1:40" ht="40" customHeight="1" x14ac:dyDescent="0.2">
      <c r="A2" s="2" t="s">
        <v>73</v>
      </c>
      <c r="B2" s="2" t="s">
        <v>188</v>
      </c>
      <c r="C2" s="2" t="s">
        <v>189</v>
      </c>
      <c r="D2" s="2" t="s">
        <v>287</v>
      </c>
      <c r="E2" s="2" t="s">
        <v>296</v>
      </c>
      <c r="F2" s="2" t="s">
        <v>472</v>
      </c>
      <c r="G2" s="2" t="s">
        <v>473</v>
      </c>
      <c r="H2" s="2" t="s">
        <v>231</v>
      </c>
      <c r="I2" s="2" t="s">
        <v>201</v>
      </c>
      <c r="K2" s="2" t="s">
        <v>73</v>
      </c>
      <c r="L2" s="2" t="s">
        <v>294</v>
      </c>
      <c r="M2" s="2" t="s">
        <v>295</v>
      </c>
      <c r="N2" s="2" t="s">
        <v>605</v>
      </c>
      <c r="O2" s="2" t="s">
        <v>606</v>
      </c>
      <c r="P2" s="2" t="s">
        <v>230</v>
      </c>
      <c r="Q2" s="2" t="s">
        <v>201</v>
      </c>
      <c r="S2" s="2" t="s">
        <v>73</v>
      </c>
      <c r="T2" s="2" t="s">
        <v>559</v>
      </c>
      <c r="U2" s="2" t="s">
        <v>398</v>
      </c>
      <c r="V2" s="2" t="s">
        <v>423</v>
      </c>
      <c r="W2" s="2" t="s">
        <v>151</v>
      </c>
      <c r="X2" s="2" t="s">
        <v>234</v>
      </c>
      <c r="Y2" s="2" t="s">
        <v>191</v>
      </c>
      <c r="Z2" s="2" t="s">
        <v>342</v>
      </c>
      <c r="AA2" s="2" t="s">
        <v>345</v>
      </c>
      <c r="AB2" s="2" t="s">
        <v>405</v>
      </c>
      <c r="AC2" s="2" t="s">
        <v>201</v>
      </c>
      <c r="AD2" s="1"/>
      <c r="AE2" s="2" t="s">
        <v>73</v>
      </c>
      <c r="AF2" s="2" t="s">
        <v>406</v>
      </c>
      <c r="AG2" s="2" t="s">
        <v>466</v>
      </c>
      <c r="AH2" s="2" t="s">
        <v>68</v>
      </c>
      <c r="AI2" s="2" t="s">
        <v>80</v>
      </c>
      <c r="AK2" s="2" t="s">
        <v>423</v>
      </c>
      <c r="AL2" s="2" t="s">
        <v>447</v>
      </c>
      <c r="AM2" s="2" t="s">
        <v>413</v>
      </c>
      <c r="AN2" s="2" t="s">
        <v>414</v>
      </c>
    </row>
    <row r="3" spans="1:40" ht="17" x14ac:dyDescent="0.2">
      <c r="A3" s="20">
        <v>1</v>
      </c>
      <c r="B3" s="20">
        <v>1</v>
      </c>
      <c r="C3" s="20">
        <v>1</v>
      </c>
      <c r="D3" s="34">
        <v>46091</v>
      </c>
      <c r="E3" s="4" t="s">
        <v>226</v>
      </c>
      <c r="F3" s="20" t="s">
        <v>57</v>
      </c>
      <c r="G3" s="20" t="s">
        <v>57</v>
      </c>
      <c r="H3" s="20">
        <v>22</v>
      </c>
      <c r="I3" s="20">
        <v>2</v>
      </c>
      <c r="K3" s="20">
        <v>1</v>
      </c>
      <c r="L3" s="20">
        <v>3</v>
      </c>
      <c r="M3" s="4" t="s">
        <v>228</v>
      </c>
      <c r="N3" s="4"/>
      <c r="O3" s="4"/>
      <c r="P3" s="20">
        <v>24</v>
      </c>
      <c r="Q3" s="20">
        <v>1</v>
      </c>
      <c r="S3" s="20">
        <v>1</v>
      </c>
      <c r="T3" s="20"/>
      <c r="U3" s="20">
        <v>17</v>
      </c>
      <c r="V3" s="20">
        <v>31</v>
      </c>
      <c r="W3" s="20">
        <v>1</v>
      </c>
      <c r="X3" s="20">
        <v>1</v>
      </c>
      <c r="Y3" s="11">
        <v>30000</v>
      </c>
      <c r="Z3" s="20">
        <v>39</v>
      </c>
      <c r="AA3" s="34">
        <v>46091</v>
      </c>
      <c r="AB3" s="34"/>
      <c r="AC3" s="20">
        <v>2</v>
      </c>
      <c r="AD3" s="1"/>
      <c r="AE3" s="20">
        <v>1</v>
      </c>
      <c r="AF3" s="20">
        <v>1</v>
      </c>
      <c r="AG3" s="4" t="s">
        <v>8</v>
      </c>
      <c r="AH3" s="31">
        <v>36526</v>
      </c>
      <c r="AI3" s="11">
        <v>2500</v>
      </c>
      <c r="AK3" s="20">
        <v>5</v>
      </c>
      <c r="AL3" s="4" t="s">
        <v>0</v>
      </c>
      <c r="AM3" s="4" t="s">
        <v>3</v>
      </c>
      <c r="AN3" s="4" t="s">
        <v>262</v>
      </c>
    </row>
    <row r="4" spans="1:40" ht="17" x14ac:dyDescent="0.2">
      <c r="A4" s="20">
        <v>2</v>
      </c>
      <c r="B4" s="20">
        <v>1</v>
      </c>
      <c r="C4" s="20">
        <v>2</v>
      </c>
      <c r="D4" s="20"/>
      <c r="E4" s="4"/>
      <c r="F4" s="20" t="s">
        <v>57</v>
      </c>
      <c r="G4" s="20" t="s">
        <v>57</v>
      </c>
      <c r="H4" s="20">
        <v>21</v>
      </c>
      <c r="I4" s="20">
        <v>1</v>
      </c>
      <c r="K4" s="32" t="s">
        <v>82</v>
      </c>
      <c r="L4" s="20" t="s">
        <v>178</v>
      </c>
      <c r="M4" s="20" t="s">
        <v>83</v>
      </c>
      <c r="N4" s="20"/>
      <c r="O4" s="20"/>
      <c r="P4" s="20" t="s">
        <v>107</v>
      </c>
      <c r="Q4" s="20" t="s">
        <v>178</v>
      </c>
      <c r="S4" s="20">
        <v>2</v>
      </c>
      <c r="T4" s="20"/>
      <c r="U4" s="20">
        <v>17</v>
      </c>
      <c r="V4" s="20">
        <v>31</v>
      </c>
      <c r="W4" s="20">
        <v>1</v>
      </c>
      <c r="X4" s="20">
        <v>3</v>
      </c>
      <c r="Y4" s="11">
        <v>40000</v>
      </c>
      <c r="Z4" s="20">
        <v>39</v>
      </c>
      <c r="AA4" s="34">
        <v>46090</v>
      </c>
      <c r="AB4" s="34"/>
      <c r="AC4" s="20">
        <v>2</v>
      </c>
      <c r="AD4" s="1"/>
      <c r="AE4" s="20">
        <v>2</v>
      </c>
      <c r="AF4" s="20">
        <v>1</v>
      </c>
      <c r="AG4" s="4" t="s">
        <v>8</v>
      </c>
      <c r="AH4" s="31">
        <v>46044</v>
      </c>
      <c r="AI4" s="11">
        <v>2600</v>
      </c>
      <c r="AK4" s="20">
        <v>5</v>
      </c>
      <c r="AL4" s="4" t="s">
        <v>0</v>
      </c>
      <c r="AM4" s="4" t="s">
        <v>262</v>
      </c>
      <c r="AN4" s="4" t="s">
        <v>259</v>
      </c>
    </row>
    <row r="5" spans="1:40" ht="17" x14ac:dyDescent="0.2">
      <c r="A5" s="20">
        <v>3</v>
      </c>
      <c r="B5" s="20">
        <v>1</v>
      </c>
      <c r="C5" s="20">
        <v>3</v>
      </c>
      <c r="D5" s="34">
        <v>46093</v>
      </c>
      <c r="E5" s="4" t="s">
        <v>227</v>
      </c>
      <c r="F5" s="20" t="s">
        <v>57</v>
      </c>
      <c r="G5" s="20" t="s">
        <v>57</v>
      </c>
      <c r="H5" s="20">
        <v>22</v>
      </c>
      <c r="I5" s="20">
        <v>4</v>
      </c>
      <c r="S5" s="20">
        <v>3</v>
      </c>
      <c r="T5" s="20"/>
      <c r="U5" s="20">
        <v>18</v>
      </c>
      <c r="V5" s="20">
        <v>33</v>
      </c>
      <c r="W5" s="20">
        <v>1</v>
      </c>
      <c r="X5" s="20">
        <v>3</v>
      </c>
      <c r="Y5" s="11">
        <v>5000</v>
      </c>
      <c r="Z5" s="20">
        <v>39</v>
      </c>
      <c r="AA5" s="34">
        <v>46093</v>
      </c>
      <c r="AB5" s="34"/>
      <c r="AC5" s="20">
        <v>2</v>
      </c>
      <c r="AD5" s="1"/>
      <c r="AE5" s="20">
        <v>3</v>
      </c>
      <c r="AF5" s="20">
        <v>6</v>
      </c>
      <c r="AG5" s="4" t="s">
        <v>186</v>
      </c>
      <c r="AH5" s="31">
        <v>36526</v>
      </c>
      <c r="AI5" s="11">
        <v>350</v>
      </c>
      <c r="AK5" s="20">
        <v>5</v>
      </c>
      <c r="AL5" s="4" t="s">
        <v>0</v>
      </c>
      <c r="AM5" s="4" t="s">
        <v>259</v>
      </c>
      <c r="AN5" s="4" t="s">
        <v>262</v>
      </c>
    </row>
    <row r="6" spans="1:40" ht="17" x14ac:dyDescent="0.2">
      <c r="A6" s="20">
        <v>4</v>
      </c>
      <c r="B6" s="20">
        <v>5</v>
      </c>
      <c r="C6" s="20">
        <v>1</v>
      </c>
      <c r="D6" s="20"/>
      <c r="E6" s="4"/>
      <c r="F6" s="20"/>
      <c r="G6" s="20"/>
      <c r="H6" s="20">
        <v>21</v>
      </c>
      <c r="I6" s="20"/>
      <c r="K6" s="172" t="s">
        <v>428</v>
      </c>
      <c r="L6" s="173"/>
      <c r="M6" s="173"/>
      <c r="N6" s="173"/>
      <c r="O6" s="173"/>
      <c r="P6" s="173"/>
      <c r="Q6" s="174"/>
      <c r="S6" s="20">
        <v>4</v>
      </c>
      <c r="T6" s="20"/>
      <c r="U6" s="20">
        <v>18</v>
      </c>
      <c r="V6" s="20">
        <v>31</v>
      </c>
      <c r="W6" s="20">
        <v>1</v>
      </c>
      <c r="X6" s="20">
        <v>3</v>
      </c>
      <c r="Y6" s="11">
        <v>17500</v>
      </c>
      <c r="Z6" s="20">
        <v>38</v>
      </c>
      <c r="AA6" s="20"/>
      <c r="AB6" s="20"/>
      <c r="AC6" s="20">
        <v>1</v>
      </c>
      <c r="AD6" s="1"/>
      <c r="AE6" s="20">
        <v>4</v>
      </c>
      <c r="AF6" s="20">
        <v>2</v>
      </c>
      <c r="AG6" s="4" t="s">
        <v>12</v>
      </c>
      <c r="AH6" s="31">
        <v>36526</v>
      </c>
      <c r="AI6" s="11">
        <v>1000</v>
      </c>
      <c r="AK6" s="20">
        <v>5</v>
      </c>
      <c r="AL6" s="4" t="s">
        <v>0</v>
      </c>
      <c r="AM6" s="4" t="s">
        <v>262</v>
      </c>
      <c r="AN6" s="4" t="s">
        <v>261</v>
      </c>
    </row>
    <row r="7" spans="1:40" ht="17" x14ac:dyDescent="0.2">
      <c r="A7" s="20">
        <v>5</v>
      </c>
      <c r="B7" s="20">
        <v>5</v>
      </c>
      <c r="C7" s="20">
        <v>2</v>
      </c>
      <c r="D7" s="34">
        <v>45992</v>
      </c>
      <c r="E7" s="4" t="s">
        <v>264</v>
      </c>
      <c r="F7" s="34">
        <v>46001</v>
      </c>
      <c r="G7" s="34">
        <v>46090</v>
      </c>
      <c r="H7" s="20">
        <v>29</v>
      </c>
      <c r="I7" s="20"/>
      <c r="K7" s="175"/>
      <c r="L7" s="176"/>
      <c r="M7" s="176"/>
      <c r="N7" s="176"/>
      <c r="O7" s="176"/>
      <c r="P7" s="176"/>
      <c r="Q7" s="177"/>
      <c r="S7" s="32" t="s">
        <v>82</v>
      </c>
      <c r="T7" s="32"/>
      <c r="U7" s="20" t="s">
        <v>107</v>
      </c>
      <c r="V7" s="20" t="s">
        <v>83</v>
      </c>
      <c r="W7" s="20" t="s">
        <v>83</v>
      </c>
      <c r="X7" s="20" t="s">
        <v>83</v>
      </c>
      <c r="Y7" s="20" t="s">
        <v>83</v>
      </c>
      <c r="Z7" s="20" t="s">
        <v>83</v>
      </c>
      <c r="AA7" s="20" t="s">
        <v>83</v>
      </c>
      <c r="AB7" s="20" t="s">
        <v>83</v>
      </c>
      <c r="AC7" s="20" t="s">
        <v>178</v>
      </c>
      <c r="AD7" s="1"/>
      <c r="AE7" s="20">
        <v>5</v>
      </c>
      <c r="AF7" s="20">
        <v>2</v>
      </c>
      <c r="AG7" s="4" t="s">
        <v>12</v>
      </c>
      <c r="AH7" s="31">
        <v>46023</v>
      </c>
      <c r="AI7" s="11">
        <v>1500</v>
      </c>
      <c r="AK7" s="20">
        <v>7</v>
      </c>
      <c r="AL7" s="4" t="s">
        <v>400</v>
      </c>
      <c r="AM7" s="4" t="s">
        <v>439</v>
      </c>
      <c r="AN7" s="4" t="s">
        <v>259</v>
      </c>
    </row>
    <row r="8" spans="1:40" ht="17" x14ac:dyDescent="0.2">
      <c r="A8" s="20">
        <v>6</v>
      </c>
      <c r="B8" s="20">
        <v>5</v>
      </c>
      <c r="C8" s="20">
        <v>3</v>
      </c>
      <c r="D8" s="34">
        <v>46054</v>
      </c>
      <c r="E8" s="4" t="s">
        <v>265</v>
      </c>
      <c r="F8" s="34">
        <v>46054</v>
      </c>
      <c r="G8" s="34">
        <v>46418</v>
      </c>
      <c r="H8" s="20">
        <v>30</v>
      </c>
      <c r="I8" s="20"/>
      <c r="K8" s="178" t="s">
        <v>429</v>
      </c>
      <c r="L8" s="178"/>
      <c r="M8" s="178"/>
      <c r="N8" s="178"/>
      <c r="O8" s="178"/>
      <c r="P8" s="178"/>
      <c r="Q8" s="178"/>
      <c r="AD8" s="1"/>
      <c r="AE8" s="20">
        <v>6</v>
      </c>
      <c r="AF8" s="20">
        <v>3</v>
      </c>
      <c r="AG8" s="4" t="s">
        <v>467</v>
      </c>
      <c r="AH8" s="31">
        <v>36526</v>
      </c>
      <c r="AI8" s="11">
        <v>2000</v>
      </c>
      <c r="AK8" s="20">
        <v>7</v>
      </c>
      <c r="AL8" s="4" t="s">
        <v>400</v>
      </c>
      <c r="AM8" s="4" t="s">
        <v>439</v>
      </c>
      <c r="AN8" s="4" t="s">
        <v>440</v>
      </c>
    </row>
    <row r="9" spans="1:40" ht="17" x14ac:dyDescent="0.2">
      <c r="A9" s="32" t="s">
        <v>82</v>
      </c>
      <c r="B9" s="20" t="s">
        <v>178</v>
      </c>
      <c r="C9" s="20" t="s">
        <v>178</v>
      </c>
      <c r="D9" s="20" t="s">
        <v>83</v>
      </c>
      <c r="E9" s="20" t="s">
        <v>83</v>
      </c>
      <c r="F9" s="20" t="s">
        <v>83</v>
      </c>
      <c r="G9" s="20" t="s">
        <v>268</v>
      </c>
      <c r="H9" s="20" t="s">
        <v>178</v>
      </c>
      <c r="I9" s="20" t="s">
        <v>178</v>
      </c>
      <c r="K9" s="178"/>
      <c r="L9" s="178"/>
      <c r="M9" s="178"/>
      <c r="N9" s="178"/>
      <c r="O9" s="178"/>
      <c r="P9" s="178"/>
      <c r="Q9" s="178"/>
      <c r="AA9" s="162" t="s">
        <v>441</v>
      </c>
      <c r="AD9" s="30"/>
      <c r="AE9" s="20">
        <v>7</v>
      </c>
      <c r="AF9" s="20">
        <v>4</v>
      </c>
      <c r="AG9" s="4" t="s">
        <v>87</v>
      </c>
      <c r="AH9" s="31">
        <v>36526</v>
      </c>
      <c r="AI9" s="11">
        <v>2300</v>
      </c>
      <c r="AL9" s="6"/>
      <c r="AM9" s="6"/>
      <c r="AN9" s="6"/>
    </row>
    <row r="10" spans="1:40" ht="17" x14ac:dyDescent="0.2">
      <c r="K10" s="178" t="s">
        <v>427</v>
      </c>
      <c r="L10" s="178"/>
      <c r="M10" s="178"/>
      <c r="N10" s="178"/>
      <c r="O10" s="178"/>
      <c r="P10" s="178"/>
      <c r="Q10" s="178"/>
      <c r="AA10" s="162"/>
      <c r="AD10" s="30"/>
      <c r="AE10" s="20">
        <v>8</v>
      </c>
      <c r="AF10" s="20">
        <v>5</v>
      </c>
      <c r="AG10" s="4" t="s">
        <v>86</v>
      </c>
      <c r="AH10" s="31">
        <v>36526</v>
      </c>
      <c r="AI10" s="11">
        <v>32</v>
      </c>
    </row>
    <row r="11" spans="1:40" ht="16" customHeight="1" x14ac:dyDescent="0.2">
      <c r="A11" s="178" t="s">
        <v>425</v>
      </c>
      <c r="B11" s="178"/>
      <c r="C11" s="178"/>
      <c r="D11" s="178"/>
      <c r="E11" s="178"/>
      <c r="F11" s="178"/>
      <c r="G11" s="178"/>
      <c r="H11" s="178"/>
      <c r="I11" s="178"/>
      <c r="K11" s="178"/>
      <c r="L11" s="178"/>
      <c r="M11" s="178"/>
      <c r="N11" s="178"/>
      <c r="O11" s="178"/>
      <c r="P11" s="178"/>
      <c r="Q11" s="178"/>
      <c r="AA11" s="162"/>
      <c r="AD11" s="30"/>
      <c r="AE11" s="20">
        <v>9</v>
      </c>
      <c r="AF11" s="20">
        <v>7</v>
      </c>
      <c r="AG11" s="4" t="s">
        <v>184</v>
      </c>
      <c r="AH11" s="31">
        <v>36526</v>
      </c>
      <c r="AI11" s="11">
        <v>500</v>
      </c>
      <c r="AM11" s="13"/>
      <c r="AN11" s="13"/>
    </row>
    <row r="12" spans="1:40" ht="17" x14ac:dyDescent="0.2">
      <c r="A12" s="178" t="s">
        <v>426</v>
      </c>
      <c r="B12" s="178"/>
      <c r="C12" s="178"/>
      <c r="D12" s="178"/>
      <c r="E12" s="178"/>
      <c r="F12" s="178"/>
      <c r="G12" s="178"/>
      <c r="H12" s="178"/>
      <c r="I12" s="178"/>
      <c r="AA12" s="162"/>
      <c r="AD12" s="30"/>
      <c r="AE12" s="20">
        <v>10</v>
      </c>
      <c r="AF12" s="20">
        <v>8</v>
      </c>
      <c r="AG12" s="4" t="s">
        <v>10</v>
      </c>
      <c r="AH12" s="31">
        <v>36526</v>
      </c>
      <c r="AI12" s="11">
        <v>350</v>
      </c>
    </row>
    <row r="13" spans="1:40" ht="16" customHeight="1" x14ac:dyDescent="0.2">
      <c r="A13" s="178" t="s">
        <v>430</v>
      </c>
      <c r="B13" s="178"/>
      <c r="C13" s="178"/>
      <c r="D13" s="178"/>
      <c r="E13" s="178"/>
      <c r="F13" s="178"/>
      <c r="G13" s="178"/>
      <c r="H13" s="178"/>
      <c r="I13" s="178"/>
      <c r="AA13" s="162"/>
      <c r="AD13" s="30"/>
      <c r="AE13" s="20">
        <v>11</v>
      </c>
      <c r="AF13" s="20">
        <v>9</v>
      </c>
      <c r="AG13" s="4" t="s">
        <v>243</v>
      </c>
      <c r="AH13" s="31">
        <v>36526</v>
      </c>
      <c r="AI13" s="11">
        <v>1200</v>
      </c>
    </row>
    <row r="14" spans="1:40" ht="17" x14ac:dyDescent="0.2">
      <c r="A14" s="162"/>
      <c r="B14" s="162"/>
      <c r="C14" s="162"/>
      <c r="D14" s="162"/>
      <c r="E14" s="162"/>
      <c r="F14" s="162"/>
      <c r="G14" s="162"/>
      <c r="H14" s="162"/>
      <c r="I14" s="162"/>
      <c r="AA14" s="162"/>
      <c r="AD14" s="30"/>
      <c r="AE14" s="20" t="s">
        <v>82</v>
      </c>
      <c r="AF14" s="20" t="s">
        <v>83</v>
      </c>
      <c r="AG14" s="4" t="s">
        <v>178</v>
      </c>
      <c r="AH14" s="31" t="s">
        <v>83</v>
      </c>
      <c r="AI14" s="11" t="s">
        <v>83</v>
      </c>
    </row>
    <row r="15" spans="1:40" ht="16" customHeight="1" x14ac:dyDescent="0.2">
      <c r="A15" s="162"/>
      <c r="B15" s="162"/>
      <c r="C15" s="162"/>
      <c r="D15" s="162"/>
      <c r="E15" s="162"/>
      <c r="F15" s="162"/>
      <c r="G15" s="162"/>
      <c r="H15" s="162"/>
      <c r="I15" s="162"/>
      <c r="AA15" s="162"/>
      <c r="AD15" s="30"/>
      <c r="AE15" s="30"/>
      <c r="AF15" s="30"/>
      <c r="AG15" s="30"/>
      <c r="AH15" s="30"/>
      <c r="AI15" s="30"/>
    </row>
    <row r="16" spans="1:40" x14ac:dyDescent="0.2">
      <c r="A16" s="162"/>
      <c r="B16" s="162"/>
      <c r="C16" s="162"/>
      <c r="D16" s="162"/>
      <c r="E16" s="162"/>
      <c r="F16" s="162"/>
      <c r="G16" s="162"/>
      <c r="H16" s="162"/>
      <c r="I16" s="162"/>
      <c r="AD16" s="30"/>
      <c r="AE16" s="30"/>
      <c r="AF16" s="30"/>
      <c r="AG16" s="30"/>
      <c r="AH16" s="30"/>
      <c r="AI16" s="30"/>
    </row>
    <row r="17" spans="27:35" x14ac:dyDescent="0.2">
      <c r="AD17" s="30"/>
      <c r="AE17" s="30"/>
      <c r="AF17" s="30"/>
      <c r="AG17" s="30"/>
      <c r="AH17" s="30"/>
      <c r="AI17" s="30"/>
    </row>
    <row r="18" spans="27:35" x14ac:dyDescent="0.2">
      <c r="AD18" s="30"/>
      <c r="AE18" s="30"/>
      <c r="AF18" s="30"/>
      <c r="AG18" s="30"/>
      <c r="AH18" s="30"/>
      <c r="AI18" s="30"/>
    </row>
    <row r="19" spans="27:35" x14ac:dyDescent="0.2">
      <c r="AD19" s="30"/>
      <c r="AE19" s="30"/>
      <c r="AF19" s="30"/>
      <c r="AG19" s="30"/>
      <c r="AH19" s="30"/>
      <c r="AI19" s="30"/>
    </row>
    <row r="20" spans="27:35" x14ac:dyDescent="0.2">
      <c r="AD20" s="30"/>
      <c r="AE20" s="30"/>
      <c r="AF20" s="30"/>
      <c r="AG20" s="30"/>
      <c r="AH20" s="30"/>
      <c r="AI20" s="30"/>
    </row>
    <row r="21" spans="27:35" x14ac:dyDescent="0.2">
      <c r="AD21" s="30"/>
      <c r="AE21" s="30"/>
      <c r="AF21" s="30"/>
      <c r="AG21" s="30"/>
      <c r="AH21" s="30"/>
      <c r="AI21" s="30"/>
    </row>
    <row r="22" spans="27:35" x14ac:dyDescent="0.2">
      <c r="AA22" s="13"/>
      <c r="AD22" s="30"/>
      <c r="AE22" s="30"/>
      <c r="AF22" s="30"/>
      <c r="AG22" s="30"/>
      <c r="AH22" s="30"/>
      <c r="AI22" s="30"/>
    </row>
    <row r="23" spans="27:35" x14ac:dyDescent="0.2">
      <c r="AA23" s="13"/>
      <c r="AD23" s="30"/>
      <c r="AE23" s="30"/>
      <c r="AF23" s="30"/>
      <c r="AG23" s="30"/>
      <c r="AH23" s="30"/>
      <c r="AI23" s="30"/>
    </row>
    <row r="24" spans="27:35" x14ac:dyDescent="0.2">
      <c r="AA24" s="13"/>
      <c r="AD24" s="30"/>
      <c r="AE24" s="30"/>
      <c r="AF24" s="30"/>
      <c r="AG24" s="30"/>
      <c r="AH24" s="30"/>
      <c r="AI24" s="30"/>
    </row>
    <row r="25" spans="27:35" x14ac:dyDescent="0.2">
      <c r="AA25" s="13"/>
      <c r="AD25" s="30"/>
      <c r="AE25" s="30"/>
      <c r="AF25" s="30"/>
      <c r="AG25" s="30"/>
      <c r="AH25" s="30"/>
      <c r="AI25" s="30"/>
    </row>
    <row r="26" spans="27:35" x14ac:dyDescent="0.2">
      <c r="AA26" s="13"/>
      <c r="AD26" s="30"/>
      <c r="AE26" s="30"/>
      <c r="AF26" s="30"/>
      <c r="AG26" s="30"/>
      <c r="AH26" s="30"/>
      <c r="AI26" s="30"/>
    </row>
    <row r="27" spans="27:35" x14ac:dyDescent="0.2">
      <c r="AA27" s="13"/>
      <c r="AD27" s="30"/>
      <c r="AE27" s="30"/>
      <c r="AF27" s="30"/>
      <c r="AG27" s="30"/>
      <c r="AH27" s="30"/>
      <c r="AI27" s="30"/>
    </row>
    <row r="28" spans="27:35" x14ac:dyDescent="0.2">
      <c r="AA28" s="13"/>
      <c r="AD28" s="30"/>
      <c r="AE28" s="30"/>
      <c r="AF28" s="30"/>
      <c r="AG28" s="30"/>
      <c r="AH28" s="30"/>
      <c r="AI28" s="30"/>
    </row>
    <row r="29" spans="27:35" x14ac:dyDescent="0.2">
      <c r="AA29" s="13"/>
      <c r="AD29" s="30"/>
      <c r="AE29" s="30"/>
      <c r="AF29" s="30"/>
      <c r="AG29" s="30"/>
      <c r="AH29" s="30"/>
      <c r="AI29" s="30"/>
    </row>
    <row r="30" spans="27:35" x14ac:dyDescent="0.2">
      <c r="AA30" s="13"/>
      <c r="AD30" s="30"/>
      <c r="AE30" s="30"/>
      <c r="AF30" s="30"/>
      <c r="AG30" s="30"/>
      <c r="AH30" s="30"/>
      <c r="AI30" s="30"/>
    </row>
    <row r="31" spans="27:35" x14ac:dyDescent="0.2">
      <c r="AA31" s="13"/>
      <c r="AD31" s="30"/>
      <c r="AE31" s="30"/>
      <c r="AF31" s="30"/>
      <c r="AG31" s="30"/>
      <c r="AH31" s="30"/>
      <c r="AI31" s="30"/>
    </row>
    <row r="32" spans="27:35" x14ac:dyDescent="0.2">
      <c r="AA32" s="13"/>
      <c r="AD32" s="30"/>
      <c r="AE32" s="30"/>
      <c r="AF32" s="30"/>
      <c r="AG32" s="30"/>
      <c r="AH32" s="30"/>
      <c r="AI32" s="30"/>
    </row>
    <row r="33" spans="30:35" x14ac:dyDescent="0.2">
      <c r="AD33" s="30"/>
      <c r="AE33" s="30"/>
      <c r="AF33" s="30"/>
      <c r="AG33" s="30"/>
      <c r="AH33" s="30"/>
      <c r="AI33" s="30"/>
    </row>
  </sheetData>
  <mergeCells count="15">
    <mergeCell ref="K6:Q7"/>
    <mergeCell ref="AA9:AA15"/>
    <mergeCell ref="A16:I16"/>
    <mergeCell ref="K8:Q9"/>
    <mergeCell ref="K10:Q11"/>
    <mergeCell ref="A11:I11"/>
    <mergeCell ref="A12:I12"/>
    <mergeCell ref="A13:I13"/>
    <mergeCell ref="A14:I14"/>
    <mergeCell ref="A15:I15"/>
    <mergeCell ref="AE1:AI1"/>
    <mergeCell ref="AK1:AN1"/>
    <mergeCell ref="S1:AC1"/>
    <mergeCell ref="A1:I1"/>
    <mergeCell ref="K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A833-CF6A-2848-B234-F52F4D92C4D4}">
  <dimension ref="A1:H38"/>
  <sheetViews>
    <sheetView workbookViewId="0">
      <selection activeCell="K21" sqref="K21"/>
    </sheetView>
  </sheetViews>
  <sheetFormatPr baseColWidth="10" defaultRowHeight="16" x14ac:dyDescent="0.2"/>
  <cols>
    <col min="1" max="1" width="3.1640625" style="28" bestFit="1" customWidth="1"/>
    <col min="2" max="2" width="9.5" style="28" bestFit="1" customWidth="1"/>
    <col min="3" max="3" width="15.33203125" style="28" bestFit="1" customWidth="1"/>
    <col min="4" max="4" width="5.33203125" style="28" bestFit="1" customWidth="1"/>
    <col min="5" max="5" width="7.33203125" style="28" bestFit="1" customWidth="1"/>
    <col min="6" max="6" width="8.83203125" style="28" bestFit="1" customWidth="1"/>
    <col min="7" max="7" width="8.83203125" style="28" customWidth="1"/>
    <col min="8" max="8" width="6.83203125" style="28" bestFit="1" customWidth="1"/>
    <col min="10" max="10" width="2.83203125" bestFit="1" customWidth="1"/>
    <col min="11" max="11" width="13.33203125" bestFit="1" customWidth="1"/>
  </cols>
  <sheetData>
    <row r="1" spans="1:8" x14ac:dyDescent="0.2">
      <c r="A1" s="179" t="s">
        <v>89</v>
      </c>
      <c r="B1" s="153"/>
      <c r="C1" s="153"/>
      <c r="D1" s="153"/>
      <c r="E1" s="153"/>
      <c r="F1" s="153"/>
      <c r="G1" s="153"/>
      <c r="H1" s="153"/>
    </row>
    <row r="2" spans="1:8" ht="17" x14ac:dyDescent="0.2">
      <c r="A2" s="2" t="s">
        <v>73</v>
      </c>
      <c r="B2" s="2" t="s">
        <v>96</v>
      </c>
      <c r="C2" s="2" t="s">
        <v>81</v>
      </c>
      <c r="D2" s="2" t="s">
        <v>217</v>
      </c>
      <c r="E2" s="2" t="s">
        <v>98</v>
      </c>
      <c r="F2" s="2" t="s">
        <v>99</v>
      </c>
      <c r="G2" s="2" t="s">
        <v>407</v>
      </c>
      <c r="H2" s="2" t="s">
        <v>105</v>
      </c>
    </row>
    <row r="3" spans="1:8" ht="17" x14ac:dyDescent="0.2">
      <c r="A3" s="27">
        <v>1</v>
      </c>
      <c r="B3" s="4" t="s">
        <v>101</v>
      </c>
      <c r="C3" s="4" t="s">
        <v>100</v>
      </c>
      <c r="D3" s="4" t="s">
        <v>103</v>
      </c>
      <c r="E3" s="4" t="s">
        <v>102</v>
      </c>
      <c r="F3" s="4" t="s">
        <v>104</v>
      </c>
      <c r="G3" s="11" t="s">
        <v>408</v>
      </c>
      <c r="H3" s="20" t="s">
        <v>106</v>
      </c>
    </row>
    <row r="4" spans="1:8" ht="17" x14ac:dyDescent="0.2">
      <c r="A4" s="27">
        <v>2</v>
      </c>
      <c r="B4" s="9" t="s">
        <v>112</v>
      </c>
      <c r="C4" s="9" t="s">
        <v>111</v>
      </c>
      <c r="D4" s="4" t="s">
        <v>103</v>
      </c>
      <c r="E4" s="4" t="s">
        <v>102</v>
      </c>
      <c r="F4" s="4" t="s">
        <v>104</v>
      </c>
      <c r="G4" s="11" t="s">
        <v>408</v>
      </c>
      <c r="H4" s="20" t="s">
        <v>106</v>
      </c>
    </row>
    <row r="5" spans="1:8" ht="17" x14ac:dyDescent="0.2">
      <c r="A5" s="27">
        <v>3</v>
      </c>
      <c r="B5" s="9" t="s">
        <v>110</v>
      </c>
      <c r="C5" s="9" t="s">
        <v>109</v>
      </c>
      <c r="D5" s="4" t="s">
        <v>103</v>
      </c>
      <c r="E5" s="4" t="s">
        <v>102</v>
      </c>
      <c r="F5" s="4" t="s">
        <v>104</v>
      </c>
      <c r="G5" s="11" t="s">
        <v>408</v>
      </c>
      <c r="H5" s="20" t="s">
        <v>106</v>
      </c>
    </row>
    <row r="6" spans="1:8" ht="17" x14ac:dyDescent="0.2">
      <c r="A6" s="27">
        <v>4</v>
      </c>
      <c r="B6" s="9" t="s">
        <v>114</v>
      </c>
      <c r="C6" s="9" t="s">
        <v>113</v>
      </c>
      <c r="D6" s="4" t="s">
        <v>103</v>
      </c>
      <c r="E6" s="4" t="s">
        <v>102</v>
      </c>
      <c r="F6" s="4" t="s">
        <v>104</v>
      </c>
      <c r="G6" s="11" t="s">
        <v>408</v>
      </c>
      <c r="H6" s="20" t="s">
        <v>106</v>
      </c>
    </row>
    <row r="7" spans="1:8" ht="17" x14ac:dyDescent="0.2">
      <c r="A7" s="27">
        <v>5</v>
      </c>
      <c r="B7" s="9" t="s">
        <v>116</v>
      </c>
      <c r="C7" s="9" t="s">
        <v>115</v>
      </c>
      <c r="D7" s="4" t="s">
        <v>103</v>
      </c>
      <c r="E7" s="4" t="s">
        <v>102</v>
      </c>
      <c r="F7" s="4" t="s">
        <v>104</v>
      </c>
      <c r="G7" s="11" t="s">
        <v>408</v>
      </c>
      <c r="H7" s="20" t="s">
        <v>106</v>
      </c>
    </row>
    <row r="8" spans="1:8" ht="17" x14ac:dyDescent="0.2">
      <c r="A8" s="27">
        <v>6</v>
      </c>
      <c r="B8" s="9" t="s">
        <v>125</v>
      </c>
      <c r="C8" s="9" t="s">
        <v>117</v>
      </c>
      <c r="D8" s="4" t="s">
        <v>103</v>
      </c>
      <c r="E8" s="4" t="s">
        <v>102</v>
      </c>
      <c r="F8" s="4" t="s">
        <v>104</v>
      </c>
      <c r="G8" s="11" t="s">
        <v>408</v>
      </c>
      <c r="H8" s="20" t="s">
        <v>106</v>
      </c>
    </row>
    <row r="9" spans="1:8" ht="17" x14ac:dyDescent="0.2">
      <c r="A9" s="27">
        <v>7</v>
      </c>
      <c r="B9" s="9" t="s">
        <v>126</v>
      </c>
      <c r="C9" s="9" t="s">
        <v>118</v>
      </c>
      <c r="D9" s="4" t="s">
        <v>103</v>
      </c>
      <c r="E9" s="4" t="s">
        <v>102</v>
      </c>
      <c r="F9" s="4" t="s">
        <v>104</v>
      </c>
      <c r="G9" s="11" t="s">
        <v>408</v>
      </c>
      <c r="H9" s="20" t="s">
        <v>106</v>
      </c>
    </row>
    <row r="10" spans="1:8" ht="17" x14ac:dyDescent="0.2">
      <c r="A10" s="27">
        <v>8</v>
      </c>
      <c r="B10" s="9" t="s">
        <v>127</v>
      </c>
      <c r="C10" s="9" t="s">
        <v>119</v>
      </c>
      <c r="D10" s="4" t="s">
        <v>103</v>
      </c>
      <c r="E10" s="4" t="s">
        <v>102</v>
      </c>
      <c r="F10" s="4" t="s">
        <v>104</v>
      </c>
      <c r="G10" s="11" t="s">
        <v>408</v>
      </c>
      <c r="H10" s="20" t="s">
        <v>106</v>
      </c>
    </row>
    <row r="11" spans="1:8" ht="17" x14ac:dyDescent="0.2">
      <c r="A11" s="27">
        <v>9</v>
      </c>
      <c r="B11" s="9" t="s">
        <v>128</v>
      </c>
      <c r="C11" s="9" t="s">
        <v>120</v>
      </c>
      <c r="D11" s="4" t="s">
        <v>103</v>
      </c>
      <c r="E11" s="4" t="s">
        <v>102</v>
      </c>
      <c r="F11" s="4" t="s">
        <v>104</v>
      </c>
      <c r="G11" s="11" t="s">
        <v>408</v>
      </c>
      <c r="H11" s="20" t="s">
        <v>106</v>
      </c>
    </row>
    <row r="12" spans="1:8" ht="17" x14ac:dyDescent="0.2">
      <c r="A12" s="27">
        <v>10</v>
      </c>
      <c r="B12" s="9" t="s">
        <v>129</v>
      </c>
      <c r="C12" s="9" t="s">
        <v>121</v>
      </c>
      <c r="D12" s="4" t="s">
        <v>103</v>
      </c>
      <c r="E12" s="4" t="s">
        <v>102</v>
      </c>
      <c r="F12" s="4" t="s">
        <v>104</v>
      </c>
      <c r="G12" s="11" t="s">
        <v>408</v>
      </c>
      <c r="H12" s="20" t="s">
        <v>106</v>
      </c>
    </row>
    <row r="13" spans="1:8" ht="17" x14ac:dyDescent="0.2">
      <c r="A13" s="27">
        <v>11</v>
      </c>
      <c r="B13" s="9" t="s">
        <v>130</v>
      </c>
      <c r="C13" s="9" t="s">
        <v>122</v>
      </c>
      <c r="D13" s="4" t="s">
        <v>103</v>
      </c>
      <c r="E13" s="4" t="s">
        <v>102</v>
      </c>
      <c r="F13" s="4" t="s">
        <v>104</v>
      </c>
      <c r="G13" s="11" t="s">
        <v>408</v>
      </c>
      <c r="H13" s="20" t="s">
        <v>106</v>
      </c>
    </row>
    <row r="14" spans="1:8" ht="17" x14ac:dyDescent="0.2">
      <c r="A14" s="27">
        <v>12</v>
      </c>
      <c r="B14" s="9" t="s">
        <v>137</v>
      </c>
      <c r="C14" s="9" t="s">
        <v>136</v>
      </c>
      <c r="D14" s="4" t="s">
        <v>103</v>
      </c>
      <c r="E14" s="4" t="s">
        <v>102</v>
      </c>
      <c r="F14" s="4" t="s">
        <v>104</v>
      </c>
      <c r="G14" s="11" t="s">
        <v>408</v>
      </c>
      <c r="H14" s="20" t="s">
        <v>106</v>
      </c>
    </row>
    <row r="15" spans="1:8" ht="17" x14ac:dyDescent="0.2">
      <c r="A15" s="27">
        <v>13</v>
      </c>
      <c r="B15" s="9" t="s">
        <v>139</v>
      </c>
      <c r="C15" s="9" t="s">
        <v>138</v>
      </c>
      <c r="D15" s="4" t="s">
        <v>103</v>
      </c>
      <c r="E15" s="4" t="s">
        <v>102</v>
      </c>
      <c r="F15" s="4" t="s">
        <v>104</v>
      </c>
      <c r="G15" s="11" t="s">
        <v>408</v>
      </c>
      <c r="H15" s="20" t="s">
        <v>106</v>
      </c>
    </row>
    <row r="16" spans="1:8" ht="17" x14ac:dyDescent="0.2">
      <c r="A16" s="27">
        <v>14</v>
      </c>
      <c r="B16" s="9" t="s">
        <v>134</v>
      </c>
      <c r="C16" s="9" t="s">
        <v>133</v>
      </c>
      <c r="D16" s="4" t="s">
        <v>103</v>
      </c>
      <c r="E16" s="4" t="s">
        <v>102</v>
      </c>
      <c r="F16" s="4" t="s">
        <v>104</v>
      </c>
      <c r="G16" s="11" t="s">
        <v>408</v>
      </c>
      <c r="H16" s="27" t="s">
        <v>135</v>
      </c>
    </row>
    <row r="17" spans="1:8" ht="17" x14ac:dyDescent="0.2">
      <c r="A17" s="27">
        <v>15</v>
      </c>
      <c r="B17" s="9" t="s">
        <v>131</v>
      </c>
      <c r="C17" s="9" t="s">
        <v>123</v>
      </c>
      <c r="D17" s="4" t="s">
        <v>103</v>
      </c>
      <c r="E17" s="4" t="s">
        <v>102</v>
      </c>
      <c r="F17" s="4" t="s">
        <v>104</v>
      </c>
      <c r="G17" s="11" t="s">
        <v>408</v>
      </c>
      <c r="H17" s="20" t="s">
        <v>106</v>
      </c>
    </row>
    <row r="18" spans="1:8" ht="17" x14ac:dyDescent="0.2">
      <c r="A18" s="27">
        <v>16</v>
      </c>
      <c r="B18" s="9" t="s">
        <v>132</v>
      </c>
      <c r="C18" s="9" t="s">
        <v>124</v>
      </c>
      <c r="D18" s="4" t="s">
        <v>103</v>
      </c>
      <c r="E18" s="4" t="s">
        <v>102</v>
      </c>
      <c r="F18" s="4" t="s">
        <v>104</v>
      </c>
      <c r="G18" s="11" t="s">
        <v>57</v>
      </c>
      <c r="H18" s="20" t="s">
        <v>106</v>
      </c>
    </row>
    <row r="19" spans="1:8" ht="17" x14ac:dyDescent="0.2">
      <c r="A19" s="27">
        <v>17</v>
      </c>
      <c r="B19" s="9" t="s">
        <v>219</v>
      </c>
      <c r="C19" s="9" t="s">
        <v>221</v>
      </c>
      <c r="D19" s="4" t="s">
        <v>103</v>
      </c>
      <c r="E19" s="4" t="s">
        <v>102</v>
      </c>
      <c r="F19" s="4" t="s">
        <v>104</v>
      </c>
      <c r="G19" s="11" t="s">
        <v>57</v>
      </c>
      <c r="H19" s="20" t="s">
        <v>106</v>
      </c>
    </row>
    <row r="20" spans="1:8" ht="17" x14ac:dyDescent="0.2">
      <c r="A20" s="27">
        <v>18</v>
      </c>
      <c r="B20" s="9" t="s">
        <v>224</v>
      </c>
      <c r="C20" s="9" t="s">
        <v>225</v>
      </c>
      <c r="D20" s="4" t="s">
        <v>103</v>
      </c>
      <c r="E20" s="4" t="s">
        <v>102</v>
      </c>
      <c r="F20" s="4" t="s">
        <v>104</v>
      </c>
      <c r="G20" s="11" t="s">
        <v>57</v>
      </c>
      <c r="H20" s="20" t="s">
        <v>106</v>
      </c>
    </row>
    <row r="21" spans="1:8" ht="17" x14ac:dyDescent="0.2">
      <c r="A21" s="33" t="s">
        <v>82</v>
      </c>
      <c r="B21" s="27" t="s">
        <v>83</v>
      </c>
      <c r="C21" s="27" t="s">
        <v>83</v>
      </c>
      <c r="D21" s="27" t="s">
        <v>83</v>
      </c>
      <c r="E21" s="27" t="s">
        <v>83</v>
      </c>
      <c r="F21" s="27" t="s">
        <v>83</v>
      </c>
      <c r="G21" s="27" t="s">
        <v>268</v>
      </c>
      <c r="H21" s="27" t="s">
        <v>107</v>
      </c>
    </row>
    <row r="22" spans="1:8" x14ac:dyDescent="0.2">
      <c r="A22" s="30"/>
      <c r="B22" s="30"/>
      <c r="C22" s="30"/>
      <c r="D22" s="30"/>
      <c r="E22" s="30"/>
      <c r="F22" s="30"/>
      <c r="G22" s="30"/>
      <c r="H22" s="30"/>
    </row>
    <row r="23" spans="1:8" ht="17" x14ac:dyDescent="0.2">
      <c r="A23" s="30"/>
      <c r="B23" s="30" t="s">
        <v>409</v>
      </c>
      <c r="C23" s="1" t="s">
        <v>410</v>
      </c>
      <c r="D23" s="1"/>
      <c r="E23" s="1" t="s">
        <v>411</v>
      </c>
      <c r="F23" s="30"/>
      <c r="G23" s="30"/>
      <c r="H23" s="30"/>
    </row>
    <row r="24" spans="1:8" x14ac:dyDescent="0.2">
      <c r="A24" s="30"/>
      <c r="B24" s="30"/>
      <c r="C24" s="30"/>
      <c r="D24" s="30"/>
      <c r="E24" s="30"/>
      <c r="F24" s="30"/>
      <c r="G24" s="30"/>
      <c r="H24" s="30"/>
    </row>
    <row r="25" spans="1:8" x14ac:dyDescent="0.2">
      <c r="A25" s="30"/>
      <c r="B25" s="30"/>
      <c r="C25" s="30"/>
      <c r="D25" s="30"/>
      <c r="E25" s="30"/>
      <c r="F25" s="30"/>
      <c r="G25" s="30"/>
      <c r="H25" s="30"/>
    </row>
    <row r="26" spans="1:8" x14ac:dyDescent="0.2">
      <c r="A26" s="30"/>
      <c r="B26" s="30"/>
      <c r="C26" s="30"/>
      <c r="D26" s="30"/>
      <c r="E26" s="30"/>
      <c r="F26" s="30"/>
      <c r="G26" s="30"/>
      <c r="H26" s="30"/>
    </row>
    <row r="27" spans="1:8" x14ac:dyDescent="0.2">
      <c r="A27" s="30"/>
      <c r="B27" s="30"/>
      <c r="C27" s="30"/>
      <c r="D27" s="30"/>
      <c r="E27" s="30"/>
      <c r="F27" s="30"/>
      <c r="G27" s="30"/>
      <c r="H27" s="30"/>
    </row>
    <row r="28" spans="1:8" x14ac:dyDescent="0.2">
      <c r="A28" s="30"/>
      <c r="B28" s="30"/>
      <c r="C28" s="30"/>
      <c r="D28" s="30"/>
      <c r="E28" s="30"/>
      <c r="F28" s="30"/>
      <c r="G28" s="30"/>
      <c r="H28" s="30"/>
    </row>
    <row r="29" spans="1:8" x14ac:dyDescent="0.2">
      <c r="A29" s="30"/>
      <c r="B29" s="30"/>
      <c r="C29" s="30"/>
      <c r="D29" s="30"/>
      <c r="E29" s="30"/>
      <c r="F29" s="30"/>
      <c r="G29" s="30"/>
      <c r="H29" s="30"/>
    </row>
    <row r="30" spans="1:8" x14ac:dyDescent="0.2">
      <c r="A30" s="30"/>
      <c r="B30" s="30"/>
      <c r="C30" s="30"/>
      <c r="D30" s="30"/>
      <c r="E30" s="30"/>
      <c r="F30" s="30"/>
      <c r="G30" s="30"/>
      <c r="H30" s="30"/>
    </row>
    <row r="31" spans="1:8" x14ac:dyDescent="0.2">
      <c r="A31" s="30"/>
      <c r="B31" s="30"/>
      <c r="C31" s="30"/>
      <c r="D31" s="30"/>
      <c r="E31" s="30"/>
      <c r="F31" s="30"/>
      <c r="G31" s="30"/>
      <c r="H31" s="30"/>
    </row>
    <row r="32" spans="1:8" x14ac:dyDescent="0.2">
      <c r="A32" s="30"/>
      <c r="B32" s="30"/>
      <c r="C32" s="30"/>
      <c r="D32" s="30"/>
      <c r="E32" s="30"/>
      <c r="F32" s="30"/>
      <c r="G32" s="30"/>
      <c r="H32" s="30"/>
    </row>
    <row r="33" spans="1:8" x14ac:dyDescent="0.2">
      <c r="A33" s="30"/>
      <c r="B33" s="30"/>
      <c r="C33" s="30"/>
      <c r="D33" s="30"/>
      <c r="E33" s="30"/>
      <c r="F33" s="30"/>
      <c r="G33" s="30"/>
      <c r="H33" s="30"/>
    </row>
    <row r="34" spans="1:8" x14ac:dyDescent="0.2">
      <c r="A34" s="30"/>
      <c r="B34" s="30"/>
      <c r="C34" s="30"/>
      <c r="D34" s="30"/>
      <c r="E34" s="30"/>
      <c r="F34" s="30"/>
      <c r="G34" s="30"/>
      <c r="H34" s="30"/>
    </row>
    <row r="35" spans="1:8" x14ac:dyDescent="0.2">
      <c r="A35" s="30"/>
      <c r="B35" s="30"/>
      <c r="C35" s="30"/>
      <c r="D35" s="30"/>
      <c r="E35" s="30"/>
      <c r="F35" s="30"/>
      <c r="G35" s="30"/>
      <c r="H35" s="30"/>
    </row>
    <row r="36" spans="1:8" x14ac:dyDescent="0.2">
      <c r="A36" s="30"/>
      <c r="B36" s="30"/>
      <c r="C36" s="30"/>
      <c r="D36" s="30"/>
      <c r="E36" s="30"/>
      <c r="F36" s="30"/>
      <c r="G36" s="30"/>
      <c r="H36" s="30"/>
    </row>
    <row r="37" spans="1:8" x14ac:dyDescent="0.2">
      <c r="A37" s="30"/>
      <c r="B37" s="30"/>
      <c r="C37" s="30"/>
      <c r="D37" s="30"/>
      <c r="E37" s="30"/>
      <c r="F37" s="30"/>
      <c r="G37" s="30"/>
      <c r="H37" s="30"/>
    </row>
    <row r="38" spans="1:8" x14ac:dyDescent="0.2">
      <c r="A38" s="30"/>
      <c r="B38" s="30"/>
      <c r="C38" s="30"/>
      <c r="D38" s="30"/>
      <c r="E38" s="30"/>
      <c r="F38" s="30"/>
      <c r="G38" s="30"/>
      <c r="H38" s="30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4BDB-1A55-9248-AFA8-036DBBD8EAD9}">
  <dimension ref="A1:M38"/>
  <sheetViews>
    <sheetView workbookViewId="0">
      <pane ySplit="2" topLeftCell="A3" activePane="bottomLeft" state="frozen"/>
      <selection pane="bottomLeft" activeCell="J17" sqref="J17:M18"/>
    </sheetView>
  </sheetViews>
  <sheetFormatPr baseColWidth="10" defaultRowHeight="16" x14ac:dyDescent="0.2"/>
  <cols>
    <col min="1" max="1" width="3.33203125" style="7" bestFit="1" customWidth="1"/>
    <col min="2" max="2" width="9.83203125" style="7" bestFit="1" customWidth="1"/>
    <col min="3" max="3" width="6.6640625" style="7" bestFit="1" customWidth="1"/>
    <col min="4" max="4" width="4.83203125" style="7" bestFit="1" customWidth="1"/>
    <col min="5" max="5" width="7.1640625" style="7" bestFit="1" customWidth="1"/>
    <col min="6" max="6" width="8.6640625" bestFit="1" customWidth="1"/>
  </cols>
  <sheetData>
    <row r="1" spans="1:6" ht="32" customHeight="1" x14ac:dyDescent="0.2">
      <c r="A1" s="152" t="s">
        <v>180</v>
      </c>
      <c r="B1" s="152"/>
      <c r="C1" s="152"/>
      <c r="D1" s="152"/>
      <c r="E1" s="152"/>
      <c r="F1" s="152"/>
    </row>
    <row r="2" spans="1:6" ht="34" x14ac:dyDescent="0.2">
      <c r="A2" s="2" t="s">
        <v>73</v>
      </c>
      <c r="B2" s="2" t="s">
        <v>151</v>
      </c>
      <c r="C2" s="2" t="s">
        <v>234</v>
      </c>
      <c r="D2" s="2" t="s">
        <v>68</v>
      </c>
      <c r="E2" s="2" t="s">
        <v>233</v>
      </c>
      <c r="F2" s="2" t="s">
        <v>446</v>
      </c>
    </row>
    <row r="3" spans="1:6" ht="17" x14ac:dyDescent="0.2">
      <c r="A3" s="32" t="s">
        <v>82</v>
      </c>
      <c r="B3" s="20" t="s">
        <v>178</v>
      </c>
      <c r="C3" s="20" t="s">
        <v>178</v>
      </c>
      <c r="D3" s="20" t="s">
        <v>83</v>
      </c>
      <c r="E3" s="20" t="s">
        <v>83</v>
      </c>
      <c r="F3" s="35" t="s">
        <v>83</v>
      </c>
    </row>
    <row r="4" spans="1:6" x14ac:dyDescent="0.2">
      <c r="A4" s="6"/>
      <c r="B4" s="6"/>
      <c r="C4" s="6"/>
      <c r="D4" s="6"/>
      <c r="E4" s="6"/>
    </row>
    <row r="5" spans="1:6" ht="16" customHeight="1" x14ac:dyDescent="0.2">
      <c r="A5" s="162"/>
      <c r="B5" s="162"/>
      <c r="C5" s="162"/>
      <c r="D5" s="162"/>
      <c r="E5" s="162"/>
      <c r="F5" s="162"/>
    </row>
    <row r="6" spans="1:6" x14ac:dyDescent="0.2">
      <c r="A6" s="162"/>
      <c r="B6" s="162"/>
      <c r="C6" s="162"/>
      <c r="D6" s="162"/>
      <c r="E6" s="162"/>
      <c r="F6" s="162"/>
    </row>
    <row r="7" spans="1:6" x14ac:dyDescent="0.2">
      <c r="A7" s="162"/>
      <c r="B7" s="162"/>
      <c r="C7" s="162"/>
      <c r="D7" s="162"/>
      <c r="E7" s="162"/>
      <c r="F7" s="162"/>
    </row>
    <row r="8" spans="1:6" x14ac:dyDescent="0.2">
      <c r="A8" s="162"/>
      <c r="B8" s="162"/>
      <c r="C8" s="162"/>
      <c r="D8" s="162"/>
      <c r="E8" s="162"/>
      <c r="F8" s="162"/>
    </row>
    <row r="9" spans="1:6" x14ac:dyDescent="0.2">
      <c r="A9" s="162"/>
      <c r="B9" s="162"/>
      <c r="C9" s="162"/>
      <c r="D9" s="162"/>
      <c r="E9" s="162"/>
      <c r="F9" s="162"/>
    </row>
    <row r="10" spans="1:6" x14ac:dyDescent="0.2">
      <c r="A10" s="162"/>
      <c r="B10" s="162"/>
      <c r="C10" s="162"/>
      <c r="D10" s="162"/>
      <c r="E10" s="162"/>
      <c r="F10" s="162"/>
    </row>
    <row r="11" spans="1:6" x14ac:dyDescent="0.2">
      <c r="A11" s="8"/>
      <c r="B11" s="8"/>
      <c r="C11" s="8"/>
      <c r="D11" s="8"/>
      <c r="E11" s="8"/>
    </row>
    <row r="12" spans="1:6" x14ac:dyDescent="0.2">
      <c r="A12" s="8"/>
      <c r="B12" s="8"/>
      <c r="C12" s="8"/>
      <c r="D12" s="8"/>
      <c r="E12" s="8"/>
    </row>
    <row r="13" spans="1:6" x14ac:dyDescent="0.2">
      <c r="A13" s="8"/>
      <c r="B13" s="8"/>
      <c r="C13" s="8"/>
      <c r="D13" s="8"/>
      <c r="E13" s="8"/>
    </row>
    <row r="14" spans="1:6" x14ac:dyDescent="0.2">
      <c r="A14" s="8"/>
      <c r="B14" s="8"/>
      <c r="C14" s="8"/>
      <c r="D14" s="8"/>
      <c r="E14" s="8"/>
    </row>
    <row r="15" spans="1:6" x14ac:dyDescent="0.2">
      <c r="A15" s="8"/>
      <c r="B15" s="8"/>
      <c r="C15" s="8"/>
      <c r="D15" s="8"/>
      <c r="E15" s="8"/>
    </row>
    <row r="16" spans="1:6" x14ac:dyDescent="0.2">
      <c r="A16" s="8"/>
      <c r="B16" s="8"/>
      <c r="C16" s="8"/>
      <c r="D16" s="8"/>
      <c r="E16" s="8"/>
    </row>
    <row r="17" spans="1:13" x14ac:dyDescent="0.2">
      <c r="A17" s="8"/>
      <c r="B17" s="8"/>
      <c r="C17" s="8"/>
      <c r="D17" s="8"/>
      <c r="E17" s="8"/>
      <c r="J17" s="180"/>
      <c r="K17" s="148"/>
      <c r="L17" s="148"/>
      <c r="M17" s="148"/>
    </row>
    <row r="18" spans="1:13" x14ac:dyDescent="0.2">
      <c r="A18" s="8"/>
      <c r="B18" s="8"/>
      <c r="C18" s="8"/>
      <c r="D18" s="8"/>
      <c r="E18" s="8"/>
      <c r="J18" s="180"/>
      <c r="K18" s="148"/>
      <c r="L18" s="148"/>
      <c r="M18" s="148"/>
    </row>
    <row r="19" spans="1:13" x14ac:dyDescent="0.2">
      <c r="A19" s="8"/>
      <c r="B19" s="8"/>
      <c r="C19" s="8"/>
      <c r="D19" s="8"/>
      <c r="E19" s="8"/>
    </row>
    <row r="20" spans="1:13" x14ac:dyDescent="0.2">
      <c r="A20" s="8"/>
      <c r="B20" s="8"/>
      <c r="C20" s="8"/>
      <c r="D20" s="8"/>
      <c r="E20" s="8"/>
    </row>
    <row r="21" spans="1:13" x14ac:dyDescent="0.2">
      <c r="A21" s="8"/>
      <c r="B21" s="8"/>
      <c r="C21" s="8"/>
      <c r="D21" s="8"/>
      <c r="E21" s="8"/>
    </row>
    <row r="22" spans="1:13" x14ac:dyDescent="0.2">
      <c r="A22" s="8"/>
      <c r="B22" s="8"/>
      <c r="C22" s="8"/>
      <c r="D22" s="8"/>
      <c r="E22" s="8"/>
    </row>
    <row r="23" spans="1:13" x14ac:dyDescent="0.2">
      <c r="A23" s="8"/>
      <c r="B23" s="8"/>
      <c r="C23" s="8"/>
      <c r="D23" s="8"/>
      <c r="E23" s="8"/>
    </row>
    <row r="24" spans="1:13" x14ac:dyDescent="0.2">
      <c r="A24" s="8"/>
      <c r="B24" s="8"/>
      <c r="C24" s="8"/>
      <c r="D24" s="8"/>
      <c r="E24" s="8"/>
    </row>
    <row r="25" spans="1:13" x14ac:dyDescent="0.2">
      <c r="A25" s="8"/>
      <c r="B25" s="8"/>
      <c r="C25" s="8"/>
      <c r="D25" s="8"/>
      <c r="E25" s="8"/>
    </row>
    <row r="26" spans="1:13" x14ac:dyDescent="0.2">
      <c r="A26" s="8"/>
      <c r="B26" s="8"/>
      <c r="C26" s="8"/>
      <c r="D26" s="8"/>
      <c r="E26" s="8"/>
    </row>
    <row r="27" spans="1:13" x14ac:dyDescent="0.2">
      <c r="A27" s="8"/>
      <c r="B27" s="8"/>
      <c r="C27" s="8"/>
      <c r="D27" s="8"/>
      <c r="E27" s="8"/>
    </row>
    <row r="28" spans="1:13" x14ac:dyDescent="0.2">
      <c r="A28" s="8"/>
      <c r="B28" s="8"/>
      <c r="C28" s="8"/>
      <c r="D28" s="8"/>
      <c r="E28" s="8"/>
    </row>
    <row r="29" spans="1:13" x14ac:dyDescent="0.2">
      <c r="A29" s="8"/>
      <c r="B29" s="8"/>
      <c r="C29" s="8"/>
      <c r="D29" s="8"/>
      <c r="E29" s="8"/>
    </row>
    <row r="30" spans="1:13" x14ac:dyDescent="0.2">
      <c r="A30" s="8"/>
      <c r="B30" s="8"/>
      <c r="C30" s="8"/>
      <c r="D30" s="8"/>
      <c r="E30" s="8"/>
    </row>
    <row r="31" spans="1:13" x14ac:dyDescent="0.2">
      <c r="A31" s="8"/>
      <c r="B31" s="8"/>
      <c r="C31" s="8"/>
      <c r="D31" s="8"/>
      <c r="E31" s="8"/>
    </row>
    <row r="32" spans="1:13" x14ac:dyDescent="0.2">
      <c r="A32" s="8"/>
      <c r="B32" s="8"/>
      <c r="C32" s="8"/>
      <c r="D32" s="8"/>
      <c r="E32" s="8"/>
    </row>
    <row r="33" spans="1:5" x14ac:dyDescent="0.2">
      <c r="A33" s="8"/>
      <c r="B33" s="8"/>
      <c r="C33" s="8"/>
      <c r="D33" s="8"/>
      <c r="E33" s="8"/>
    </row>
    <row r="34" spans="1:5" x14ac:dyDescent="0.2">
      <c r="A34" s="8"/>
      <c r="B34" s="8"/>
      <c r="C34" s="8"/>
      <c r="D34" s="8"/>
      <c r="E34" s="8"/>
    </row>
    <row r="35" spans="1:5" x14ac:dyDescent="0.2">
      <c r="A35" s="8"/>
      <c r="B35" s="8"/>
      <c r="C35" s="8"/>
      <c r="D35" s="8"/>
      <c r="E35" s="8"/>
    </row>
    <row r="36" spans="1:5" x14ac:dyDescent="0.2">
      <c r="A36" s="8"/>
      <c r="B36" s="8"/>
      <c r="C36" s="8"/>
      <c r="D36" s="8"/>
      <c r="E36" s="8"/>
    </row>
    <row r="37" spans="1:5" x14ac:dyDescent="0.2">
      <c r="A37" s="8"/>
      <c r="B37" s="8"/>
      <c r="C37" s="8"/>
      <c r="D37" s="8"/>
      <c r="E37" s="8"/>
    </row>
    <row r="38" spans="1:5" x14ac:dyDescent="0.2">
      <c r="A38" s="8"/>
      <c r="B38" s="8"/>
      <c r="C38" s="8"/>
      <c r="D38" s="8"/>
      <c r="E38" s="8"/>
    </row>
  </sheetData>
  <mergeCells count="3">
    <mergeCell ref="A1:F1"/>
    <mergeCell ref="A5:F10"/>
    <mergeCell ref="J17:J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7ED9-9E1A-A641-8C97-A0CD7BA5548E}">
  <dimension ref="A1:S45"/>
  <sheetViews>
    <sheetView topLeftCell="A4" zoomScale="110" zoomScaleNormal="110" workbookViewId="0">
      <selection activeCell="O24" sqref="O24"/>
    </sheetView>
  </sheetViews>
  <sheetFormatPr baseColWidth="10" defaultRowHeight="16" x14ac:dyDescent="0.2"/>
  <cols>
    <col min="1" max="1" width="3.1640625" style="17" customWidth="1"/>
    <col min="2" max="2" width="24.5" style="17" customWidth="1"/>
    <col min="3" max="6" width="2.6640625" style="17" customWidth="1"/>
    <col min="7" max="17" width="10.83203125" style="17"/>
    <col min="18" max="18" width="2.83203125" style="17" customWidth="1"/>
    <col min="19" max="19" width="2.6640625" style="17" customWidth="1"/>
    <col min="20" max="16384" width="10.83203125" style="17"/>
  </cols>
  <sheetData>
    <row r="1" spans="1:19" x14ac:dyDescent="0.2">
      <c r="A1" s="16"/>
      <c r="B1" s="16"/>
      <c r="C1" s="16"/>
      <c r="D1" s="16"/>
      <c r="E1" s="16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32" customHeight="1" x14ac:dyDescent="0.2">
      <c r="A2" s="16"/>
      <c r="B2" s="182" t="s">
        <v>279</v>
      </c>
      <c r="C2" s="182"/>
      <c r="D2" s="16"/>
      <c r="E2" s="16"/>
      <c r="F2" s="1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9"/>
      <c r="S2" s="18"/>
    </row>
    <row r="3" spans="1:19" ht="17" thickBot="1" x14ac:dyDescent="0.25">
      <c r="A3" s="16"/>
      <c r="B3" s="16"/>
      <c r="C3" s="16"/>
      <c r="D3" s="16"/>
      <c r="E3" s="16"/>
      <c r="F3" s="1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19"/>
      <c r="S3" s="18"/>
    </row>
    <row r="4" spans="1:19" ht="17" thickBot="1" x14ac:dyDescent="0.25">
      <c r="A4" s="16"/>
      <c r="B4" s="94" t="s">
        <v>280</v>
      </c>
      <c r="C4" s="95"/>
      <c r="D4" s="96"/>
      <c r="E4" s="16"/>
      <c r="F4" s="1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19"/>
      <c r="S4" s="18"/>
    </row>
    <row r="5" spans="1:19" ht="17" thickBot="1" x14ac:dyDescent="0.25">
      <c r="A5" s="16"/>
      <c r="B5" s="97"/>
      <c r="C5" s="97"/>
      <c r="D5" s="97"/>
      <c r="E5" s="16"/>
      <c r="F5" s="1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19"/>
      <c r="S5" s="18"/>
    </row>
    <row r="6" spans="1:19" ht="17" thickBot="1" x14ac:dyDescent="0.25">
      <c r="A6" s="16"/>
      <c r="B6" s="94" t="s">
        <v>284</v>
      </c>
      <c r="C6" s="95"/>
      <c r="D6" s="96" t="s">
        <v>282</v>
      </c>
      <c r="E6" s="16"/>
      <c r="F6" s="1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19"/>
      <c r="S6" s="18"/>
    </row>
    <row r="7" spans="1:19" ht="17" thickBot="1" x14ac:dyDescent="0.25">
      <c r="A7" s="16"/>
      <c r="B7" s="97"/>
      <c r="C7" s="97"/>
      <c r="D7" s="97"/>
      <c r="E7" s="16"/>
      <c r="F7" s="1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19"/>
      <c r="S7" s="18"/>
    </row>
    <row r="8" spans="1:19" ht="17" thickBot="1" x14ac:dyDescent="0.25">
      <c r="A8" s="16"/>
      <c r="B8" s="94" t="s">
        <v>281</v>
      </c>
      <c r="C8" s="95"/>
      <c r="D8" s="96" t="s">
        <v>282</v>
      </c>
      <c r="E8" s="16"/>
      <c r="F8" s="1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19"/>
      <c r="S8" s="18"/>
    </row>
    <row r="9" spans="1:19" ht="17" thickBot="1" x14ac:dyDescent="0.25">
      <c r="A9" s="16"/>
      <c r="B9" s="97"/>
      <c r="C9" s="97"/>
      <c r="D9" s="97"/>
      <c r="E9" s="16"/>
      <c r="F9" s="1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19"/>
      <c r="S9" s="18"/>
    </row>
    <row r="10" spans="1:19" ht="17" thickBot="1" x14ac:dyDescent="0.25">
      <c r="A10" s="16"/>
      <c r="B10" s="94" t="s">
        <v>283</v>
      </c>
      <c r="C10" s="95"/>
      <c r="D10" s="96" t="s">
        <v>282</v>
      </c>
      <c r="E10" s="16"/>
      <c r="F10" s="1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19"/>
      <c r="S10" s="18"/>
    </row>
    <row r="11" spans="1:19" ht="17" thickBot="1" x14ac:dyDescent="0.25">
      <c r="A11" s="16"/>
      <c r="B11" s="97"/>
      <c r="C11" s="97"/>
      <c r="D11" s="97"/>
      <c r="E11" s="16"/>
      <c r="F11" s="1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19"/>
      <c r="S11" s="18"/>
    </row>
    <row r="12" spans="1:19" x14ac:dyDescent="0.2">
      <c r="A12" s="16"/>
      <c r="B12" s="98" t="s">
        <v>11</v>
      </c>
      <c r="C12" s="99" t="s">
        <v>282</v>
      </c>
      <c r="D12" s="100" t="s">
        <v>282</v>
      </c>
      <c r="E12" s="16"/>
      <c r="F12" s="1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19"/>
      <c r="S12" s="18"/>
    </row>
    <row r="13" spans="1:19" ht="17" thickBot="1" x14ac:dyDescent="0.25">
      <c r="A13" s="16"/>
      <c r="B13" s="101" t="s">
        <v>580</v>
      </c>
      <c r="C13" s="102"/>
      <c r="D13" s="103" t="s">
        <v>282</v>
      </c>
      <c r="E13" s="16"/>
      <c r="F13" s="1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19"/>
      <c r="S13" s="18"/>
    </row>
    <row r="14" spans="1:19" ht="17" thickBot="1" x14ac:dyDescent="0.25">
      <c r="A14" s="16"/>
      <c r="B14" s="104"/>
      <c r="C14" s="97"/>
      <c r="D14" s="97"/>
      <c r="E14" s="16"/>
      <c r="F14" s="1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19"/>
      <c r="S14" s="18"/>
    </row>
    <row r="15" spans="1:19" x14ac:dyDescent="0.2">
      <c r="A15" s="16"/>
      <c r="B15" s="98" t="s">
        <v>13</v>
      </c>
      <c r="C15" s="99" t="s">
        <v>282</v>
      </c>
      <c r="D15" s="100" t="s">
        <v>282</v>
      </c>
      <c r="E15" s="16"/>
      <c r="F15" s="1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19"/>
      <c r="S15" s="18"/>
    </row>
    <row r="16" spans="1:19" x14ac:dyDescent="0.2">
      <c r="A16" s="16"/>
      <c r="B16" s="105" t="s">
        <v>580</v>
      </c>
      <c r="C16" s="106"/>
      <c r="D16" s="107" t="s">
        <v>282</v>
      </c>
      <c r="E16" s="16"/>
      <c r="F16" s="1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9"/>
      <c r="S16" s="18"/>
    </row>
    <row r="17" spans="1:19" ht="17" thickBot="1" x14ac:dyDescent="0.25">
      <c r="A17" s="16"/>
      <c r="B17" s="108" t="s">
        <v>580</v>
      </c>
      <c r="C17" s="109"/>
      <c r="D17" s="110" t="s">
        <v>282</v>
      </c>
      <c r="E17" s="16"/>
      <c r="F17" s="1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19"/>
      <c r="S17" s="18"/>
    </row>
    <row r="18" spans="1:19" ht="17" thickBot="1" x14ac:dyDescent="0.25">
      <c r="A18" s="16"/>
      <c r="B18" s="97"/>
      <c r="C18" s="97"/>
      <c r="D18" s="97"/>
      <c r="E18" s="16"/>
      <c r="F18" s="1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19"/>
      <c r="S18" s="18"/>
    </row>
    <row r="19" spans="1:19" x14ac:dyDescent="0.2">
      <c r="A19" s="16"/>
      <c r="B19" s="111" t="s">
        <v>15</v>
      </c>
      <c r="C19" s="112" t="s">
        <v>282</v>
      </c>
      <c r="D19" s="113" t="s">
        <v>282</v>
      </c>
      <c r="E19" s="16"/>
      <c r="F19" s="1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19"/>
      <c r="S19" s="18"/>
    </row>
    <row r="20" spans="1:19" x14ac:dyDescent="0.2">
      <c r="A20" s="16"/>
      <c r="B20" s="105" t="s">
        <v>581</v>
      </c>
      <c r="C20" s="106"/>
      <c r="D20" s="107" t="s">
        <v>282</v>
      </c>
      <c r="E20" s="16"/>
      <c r="F20" s="1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19"/>
      <c r="S20" s="18"/>
    </row>
    <row r="21" spans="1:19" ht="17" thickBot="1" x14ac:dyDescent="0.25">
      <c r="A21" s="16"/>
      <c r="B21" s="108" t="s">
        <v>581</v>
      </c>
      <c r="C21" s="109"/>
      <c r="D21" s="110" t="s">
        <v>282</v>
      </c>
      <c r="E21" s="16"/>
      <c r="F21" s="1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19"/>
      <c r="S21" s="18"/>
    </row>
    <row r="22" spans="1:19" ht="17" thickBot="1" x14ac:dyDescent="0.25">
      <c r="A22" s="16"/>
      <c r="B22" s="97"/>
      <c r="C22" s="97"/>
      <c r="D22" s="97"/>
      <c r="E22" s="16"/>
      <c r="F22" s="1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19"/>
      <c r="S22" s="18"/>
    </row>
    <row r="23" spans="1:19" ht="17" thickBot="1" x14ac:dyDescent="0.25">
      <c r="A23" s="16"/>
      <c r="B23" s="94" t="s">
        <v>17</v>
      </c>
      <c r="C23" s="95"/>
      <c r="D23" s="96" t="s">
        <v>282</v>
      </c>
      <c r="E23" s="16"/>
      <c r="F23" s="1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19"/>
      <c r="S23" s="18"/>
    </row>
    <row r="24" spans="1:19" ht="17" thickBot="1" x14ac:dyDescent="0.25">
      <c r="A24" s="16"/>
      <c r="B24" s="97"/>
      <c r="C24" s="97"/>
      <c r="D24" s="97"/>
      <c r="E24" s="16"/>
      <c r="F24" s="1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19"/>
      <c r="S24" s="18"/>
    </row>
    <row r="25" spans="1:19" ht="17" thickBot="1" x14ac:dyDescent="0.25">
      <c r="A25" s="16"/>
      <c r="B25" s="94" t="s">
        <v>177</v>
      </c>
      <c r="C25" s="95"/>
      <c r="D25" s="96" t="s">
        <v>282</v>
      </c>
      <c r="E25" s="16"/>
      <c r="F25" s="1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19"/>
      <c r="S25" s="18"/>
    </row>
    <row r="26" spans="1:19" ht="17" thickBot="1" x14ac:dyDescent="0.25">
      <c r="A26" s="16"/>
      <c r="B26" s="97"/>
      <c r="C26" s="97"/>
      <c r="D26" s="97"/>
      <c r="E26" s="16"/>
      <c r="F26" s="1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19"/>
      <c r="S26" s="18"/>
    </row>
    <row r="27" spans="1:19" ht="17" thickBot="1" x14ac:dyDescent="0.25">
      <c r="A27" s="16"/>
      <c r="B27" s="94" t="s">
        <v>444</v>
      </c>
      <c r="C27" s="95"/>
      <c r="D27" s="96"/>
      <c r="E27" s="16"/>
      <c r="F27" s="1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19"/>
      <c r="S27" s="18"/>
    </row>
    <row r="28" spans="1:19" ht="17" thickBot="1" x14ac:dyDescent="0.25">
      <c r="A28" s="16"/>
      <c r="B28" s="97"/>
      <c r="C28" s="97"/>
      <c r="D28" s="97"/>
      <c r="E28" s="16"/>
      <c r="F28" s="1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19"/>
      <c r="S28" s="18"/>
    </row>
    <row r="29" spans="1:19" ht="17" thickBot="1" x14ac:dyDescent="0.25">
      <c r="A29" s="16"/>
      <c r="B29" s="94" t="s">
        <v>555</v>
      </c>
      <c r="C29" s="95"/>
      <c r="D29" s="96"/>
      <c r="E29" s="16"/>
      <c r="F29" s="1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19"/>
      <c r="S29" s="18"/>
    </row>
    <row r="30" spans="1:19" ht="17" thickBot="1" x14ac:dyDescent="0.25">
      <c r="A30" s="16"/>
      <c r="B30" s="97"/>
      <c r="C30" s="97"/>
      <c r="D30" s="97"/>
      <c r="E30" s="16"/>
      <c r="F30" s="1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19"/>
      <c r="S30" s="18"/>
    </row>
    <row r="31" spans="1:19" x14ac:dyDescent="0.2">
      <c r="A31" s="16"/>
      <c r="B31" s="187" t="s">
        <v>285</v>
      </c>
      <c r="C31" s="188"/>
      <c r="D31" s="189"/>
      <c r="E31" s="16"/>
      <c r="F31" s="1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19"/>
      <c r="S31" s="18"/>
    </row>
    <row r="32" spans="1:19" x14ac:dyDescent="0.2">
      <c r="A32" s="16"/>
      <c r="B32" s="190" t="s">
        <v>556</v>
      </c>
      <c r="C32" s="191"/>
      <c r="D32" s="107" t="s">
        <v>282</v>
      </c>
      <c r="E32" s="16"/>
      <c r="F32" s="1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19"/>
      <c r="S32" s="18"/>
    </row>
    <row r="33" spans="1:19" ht="17" thickBot="1" x14ac:dyDescent="0.25">
      <c r="A33" s="16"/>
      <c r="B33" s="192" t="s">
        <v>528</v>
      </c>
      <c r="C33" s="193"/>
      <c r="D33" s="103" t="s">
        <v>282</v>
      </c>
      <c r="E33" s="16"/>
      <c r="F33" s="1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19"/>
      <c r="S33" s="18"/>
    </row>
    <row r="34" spans="1:19" ht="17" thickBot="1" x14ac:dyDescent="0.25">
      <c r="A34" s="16"/>
      <c r="B34" s="97"/>
      <c r="C34" s="97"/>
      <c r="D34" s="97"/>
      <c r="E34" s="16"/>
      <c r="F34" s="1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19"/>
      <c r="S34" s="18"/>
    </row>
    <row r="35" spans="1:19" ht="17" thickBot="1" x14ac:dyDescent="0.25">
      <c r="A35" s="16"/>
      <c r="B35" s="184" t="s">
        <v>480</v>
      </c>
      <c r="C35" s="185"/>
      <c r="D35" s="186"/>
      <c r="E35" s="37"/>
      <c r="F35" s="1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18"/>
      <c r="S35" s="18"/>
    </row>
    <row r="36" spans="1:19" x14ac:dyDescent="0.2">
      <c r="A36" s="16"/>
      <c r="B36" s="16"/>
      <c r="C36" s="16"/>
      <c r="D36" s="16"/>
      <c r="E36" s="16"/>
      <c r="F36" s="183" t="s">
        <v>445</v>
      </c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"/>
      <c r="S36" s="18"/>
    </row>
    <row r="38" spans="1:19" x14ac:dyDescent="0.2">
      <c r="A38" s="181" t="s">
        <v>546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</row>
    <row r="39" spans="1:19" x14ac:dyDescent="0.2">
      <c r="A39" s="181" t="s">
        <v>577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</row>
    <row r="40" spans="1:19" x14ac:dyDescent="0.2">
      <c r="A40" s="181" t="s">
        <v>579</v>
      </c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</row>
    <row r="41" spans="1:19" x14ac:dyDescent="0.2">
      <c r="A41" s="181" t="s">
        <v>578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</row>
    <row r="42" spans="1:19" x14ac:dyDescent="0.2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</row>
    <row r="43" spans="1:19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</row>
    <row r="44" spans="1:19" x14ac:dyDescent="0.2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</row>
    <row r="45" spans="1:19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</row>
  </sheetData>
  <mergeCells count="14">
    <mergeCell ref="B2:C2"/>
    <mergeCell ref="F36:Q36"/>
    <mergeCell ref="B35:D35"/>
    <mergeCell ref="B31:D31"/>
    <mergeCell ref="B32:C32"/>
    <mergeCell ref="B33:C33"/>
    <mergeCell ref="A43:S43"/>
    <mergeCell ref="A44:S44"/>
    <mergeCell ref="A45:S45"/>
    <mergeCell ref="A38:S38"/>
    <mergeCell ref="A39:S39"/>
    <mergeCell ref="A40:S40"/>
    <mergeCell ref="A41:S41"/>
    <mergeCell ref="A42:S4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B3C5-E915-2740-8F7A-8E493D18F2E7}">
  <dimension ref="A1:AA31"/>
  <sheetViews>
    <sheetView topLeftCell="B1" workbookViewId="0">
      <selection activeCell="B1" sqref="A1:XFD1048576"/>
    </sheetView>
  </sheetViews>
  <sheetFormatPr baseColWidth="10" defaultRowHeight="16" x14ac:dyDescent="0.2"/>
  <cols>
    <col min="1" max="1" width="3.1640625" customWidth="1"/>
    <col min="13" max="13" width="3.33203125" customWidth="1"/>
    <col min="15" max="15" width="3.1640625" customWidth="1"/>
    <col min="17" max="17" width="15.5" bestFit="1" customWidth="1"/>
    <col min="19" max="19" width="15" bestFit="1" customWidth="1"/>
    <col min="20" max="20" width="15.6640625" bestFit="1" customWidth="1"/>
    <col min="21" max="21" width="14.6640625" bestFit="1" customWidth="1"/>
    <col min="27" max="27" width="3.33203125" customWidth="1"/>
  </cols>
  <sheetData>
    <row r="1" spans="1:27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x14ac:dyDescent="0.2">
      <c r="A2" s="18"/>
      <c r="B2" s="60" t="s">
        <v>8</v>
      </c>
      <c r="C2" s="60" t="s">
        <v>10</v>
      </c>
      <c r="D2" s="60" t="s">
        <v>12</v>
      </c>
      <c r="E2" s="60" t="s">
        <v>14</v>
      </c>
      <c r="F2" s="60" t="s">
        <v>16</v>
      </c>
      <c r="G2" s="60" t="s">
        <v>600</v>
      </c>
      <c r="H2" s="60" t="s">
        <v>602</v>
      </c>
      <c r="I2" s="38"/>
      <c r="J2" s="38"/>
      <c r="K2" s="38"/>
      <c r="L2" s="38"/>
      <c r="M2" s="18"/>
      <c r="O2" s="18"/>
      <c r="P2" s="60" t="s">
        <v>8</v>
      </c>
      <c r="Q2" s="60" t="s">
        <v>10</v>
      </c>
      <c r="R2" s="60" t="s">
        <v>12</v>
      </c>
      <c r="S2" s="60" t="s">
        <v>14</v>
      </c>
      <c r="T2" s="60" t="s">
        <v>16</v>
      </c>
      <c r="U2" s="60" t="s">
        <v>600</v>
      </c>
      <c r="V2" s="60" t="s">
        <v>2</v>
      </c>
      <c r="W2" s="60" t="s">
        <v>3</v>
      </c>
      <c r="X2" s="60" t="s">
        <v>608</v>
      </c>
      <c r="Y2" s="60" t="s">
        <v>259</v>
      </c>
      <c r="Z2" s="60" t="s">
        <v>261</v>
      </c>
      <c r="AA2" s="18"/>
    </row>
    <row r="3" spans="1:27" x14ac:dyDescent="0.2">
      <c r="A3" s="1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18"/>
      <c r="O3" s="1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18"/>
    </row>
    <row r="4" spans="1:27" x14ac:dyDescent="0.2">
      <c r="A4" s="18"/>
      <c r="B4" s="44" t="s">
        <v>601</v>
      </c>
      <c r="C4" s="44" t="s">
        <v>603</v>
      </c>
      <c r="D4" s="44" t="s">
        <v>364</v>
      </c>
      <c r="E4" s="44" t="s">
        <v>355</v>
      </c>
      <c r="F4" s="38"/>
      <c r="G4" s="38"/>
      <c r="H4" s="38"/>
      <c r="I4" s="38"/>
      <c r="J4" s="38"/>
      <c r="K4" s="38"/>
      <c r="L4" s="38"/>
      <c r="M4" s="18"/>
      <c r="O4" s="18"/>
      <c r="P4" s="44" t="s">
        <v>601</v>
      </c>
      <c r="Q4" s="44" t="s">
        <v>603</v>
      </c>
      <c r="R4" s="44" t="s">
        <v>364</v>
      </c>
      <c r="S4" s="44" t="s">
        <v>366</v>
      </c>
      <c r="T4" s="44" t="s">
        <v>604</v>
      </c>
      <c r="U4" s="44" t="s">
        <v>607</v>
      </c>
      <c r="V4" s="44" t="s">
        <v>355</v>
      </c>
      <c r="W4" s="38"/>
      <c r="X4" s="38"/>
      <c r="Y4" s="38"/>
      <c r="Z4" s="38"/>
      <c r="AA4" s="18"/>
    </row>
    <row r="5" spans="1:27" x14ac:dyDescent="0.2">
      <c r="A5" s="18"/>
      <c r="B5" s="44"/>
      <c r="C5" s="44"/>
      <c r="D5" s="44"/>
      <c r="E5" s="44"/>
      <c r="F5" s="38"/>
      <c r="G5" s="38"/>
      <c r="H5" s="38"/>
      <c r="I5" s="38"/>
      <c r="J5" s="38"/>
      <c r="K5" s="38"/>
      <c r="L5" s="38"/>
      <c r="M5" s="18"/>
      <c r="O5" s="18"/>
      <c r="P5" s="44"/>
      <c r="Q5" s="44"/>
      <c r="R5" s="44"/>
      <c r="S5" s="44"/>
      <c r="T5" s="43"/>
      <c r="U5" s="43"/>
      <c r="V5" s="43"/>
      <c r="W5" s="38"/>
      <c r="X5" s="38"/>
      <c r="Y5" s="38"/>
      <c r="Z5" s="38"/>
      <c r="AA5" s="18"/>
    </row>
    <row r="6" spans="1:27" x14ac:dyDescent="0.2">
      <c r="A6" s="18"/>
      <c r="B6" s="44"/>
      <c r="C6" s="44"/>
      <c r="D6" s="44"/>
      <c r="E6" s="44"/>
      <c r="F6" s="38"/>
      <c r="G6" s="38"/>
      <c r="H6" s="38"/>
      <c r="I6" s="38"/>
      <c r="J6" s="38"/>
      <c r="K6" s="38"/>
      <c r="L6" s="38"/>
      <c r="M6" s="18"/>
      <c r="O6" s="18"/>
      <c r="P6" s="44"/>
      <c r="Q6" s="72" t="s">
        <v>190</v>
      </c>
      <c r="R6" s="44"/>
      <c r="S6" s="44"/>
      <c r="T6" s="43"/>
      <c r="U6" s="43"/>
      <c r="V6" s="43"/>
      <c r="W6" s="38"/>
      <c r="X6" s="38"/>
      <c r="Y6" s="38"/>
      <c r="Z6" s="38"/>
      <c r="AA6" s="18"/>
    </row>
    <row r="7" spans="1:27" x14ac:dyDescent="0.2">
      <c r="A7" s="18"/>
      <c r="B7" s="44"/>
      <c r="C7" s="44"/>
      <c r="D7" s="44"/>
      <c r="E7" s="44"/>
      <c r="F7" s="38"/>
      <c r="G7" s="38"/>
      <c r="H7" s="38"/>
      <c r="I7" s="38"/>
      <c r="J7" s="38"/>
      <c r="K7" s="38"/>
      <c r="L7" s="38"/>
      <c r="M7" s="18"/>
      <c r="O7" s="18"/>
      <c r="P7" s="44"/>
      <c r="Q7" s="72" t="s">
        <v>609</v>
      </c>
      <c r="R7" s="44"/>
      <c r="S7" s="44"/>
      <c r="T7" s="43"/>
      <c r="U7" s="43"/>
      <c r="V7" s="43"/>
      <c r="W7" s="38"/>
      <c r="X7" s="38"/>
      <c r="Y7" s="38"/>
      <c r="Z7" s="38"/>
      <c r="AA7" s="18"/>
    </row>
    <row r="8" spans="1:27" x14ac:dyDescent="0.2">
      <c r="A8" s="18"/>
      <c r="B8" s="44"/>
      <c r="C8" s="44"/>
      <c r="D8" s="44"/>
      <c r="E8" s="44"/>
      <c r="F8" s="38"/>
      <c r="G8" s="38"/>
      <c r="H8" s="38"/>
      <c r="I8" s="38"/>
      <c r="J8" s="38"/>
      <c r="K8" s="38"/>
      <c r="L8" s="38"/>
      <c r="M8" s="18"/>
      <c r="O8" s="18"/>
      <c r="P8" s="44"/>
      <c r="Q8" s="72" t="s">
        <v>57</v>
      </c>
      <c r="R8" s="44"/>
      <c r="S8" s="44"/>
      <c r="T8" s="43"/>
      <c r="U8" s="43"/>
      <c r="V8" s="43"/>
      <c r="W8" s="38"/>
      <c r="X8" s="38"/>
      <c r="Y8" s="38"/>
      <c r="Z8" s="38"/>
      <c r="AA8" s="18"/>
    </row>
    <row r="9" spans="1:27" x14ac:dyDescent="0.2">
      <c r="A9" s="18"/>
      <c r="B9" s="44"/>
      <c r="C9" s="44"/>
      <c r="D9" s="44"/>
      <c r="E9" s="44"/>
      <c r="F9" s="38"/>
      <c r="G9" s="38"/>
      <c r="H9" s="38"/>
      <c r="I9" s="38"/>
      <c r="J9" s="38"/>
      <c r="K9" s="38"/>
      <c r="L9" s="38"/>
      <c r="M9" s="18"/>
      <c r="O9" s="18"/>
      <c r="P9" s="44"/>
      <c r="Q9" s="44"/>
      <c r="R9" s="44"/>
      <c r="S9" s="44"/>
      <c r="T9" s="43"/>
      <c r="U9" s="43"/>
      <c r="V9" s="43"/>
      <c r="W9" s="38"/>
      <c r="X9" s="38"/>
      <c r="Y9" s="38"/>
      <c r="Z9" s="38"/>
      <c r="AA9" s="18"/>
    </row>
    <row r="10" spans="1:27" x14ac:dyDescent="0.2">
      <c r="A10" s="1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18"/>
      <c r="O10" s="1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18"/>
    </row>
    <row r="11" spans="1:27" x14ac:dyDescent="0.2">
      <c r="A11" s="1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18"/>
      <c r="O11" s="1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18"/>
    </row>
    <row r="12" spans="1:27" x14ac:dyDescent="0.2">
      <c r="A12" s="1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18"/>
      <c r="O12" s="1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18"/>
    </row>
    <row r="13" spans="1:27" x14ac:dyDescent="0.2">
      <c r="A13" s="1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18"/>
      <c r="O13" s="1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18"/>
    </row>
    <row r="14" spans="1:27" x14ac:dyDescent="0.2">
      <c r="A14" s="1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18"/>
      <c r="O14" s="1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18"/>
    </row>
    <row r="15" spans="1:27" x14ac:dyDescent="0.2">
      <c r="A15" s="1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18"/>
      <c r="O15" s="1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18"/>
    </row>
    <row r="16" spans="1:27" x14ac:dyDescent="0.2">
      <c r="A16" s="1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18"/>
      <c r="O16" s="1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18"/>
    </row>
    <row r="17" spans="1:27" x14ac:dyDescent="0.2">
      <c r="A17" s="1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18"/>
      <c r="O17" s="1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18"/>
    </row>
    <row r="18" spans="1:27" x14ac:dyDescent="0.2">
      <c r="A18" s="1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18"/>
      <c r="O18" s="1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18"/>
    </row>
    <row r="19" spans="1:27" x14ac:dyDescent="0.2">
      <c r="A19" s="1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8"/>
      <c r="O19" s="1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18"/>
    </row>
    <row r="20" spans="1:27" x14ac:dyDescent="0.2">
      <c r="A20" s="1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8"/>
      <c r="O20" s="1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18"/>
    </row>
    <row r="21" spans="1:27" x14ac:dyDescent="0.2">
      <c r="A21" s="1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8"/>
      <c r="O21" s="1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18"/>
    </row>
    <row r="22" spans="1:27" x14ac:dyDescent="0.2">
      <c r="A22" s="1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8"/>
      <c r="O22" s="1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18"/>
    </row>
    <row r="23" spans="1:27" x14ac:dyDescent="0.2">
      <c r="A23" s="1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8"/>
      <c r="O23" s="1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18"/>
    </row>
    <row r="24" spans="1:27" x14ac:dyDescent="0.2">
      <c r="A24" s="1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18"/>
      <c r="O24" s="1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18"/>
    </row>
    <row r="25" spans="1:27" x14ac:dyDescent="0.2">
      <c r="A25" s="1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18"/>
      <c r="O25" s="1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18"/>
    </row>
    <row r="26" spans="1:27" x14ac:dyDescent="0.2">
      <c r="A26" s="1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18"/>
      <c r="O26" s="1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18"/>
    </row>
    <row r="27" spans="1:27" x14ac:dyDescent="0.2">
      <c r="A27" s="1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18"/>
      <c r="O27" s="1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18"/>
    </row>
    <row r="28" spans="1:27" x14ac:dyDescent="0.2">
      <c r="A28" s="1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18"/>
      <c r="O28" s="1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18"/>
    </row>
    <row r="29" spans="1:27" x14ac:dyDescent="0.2">
      <c r="A29" s="1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18"/>
      <c r="O29" s="1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18"/>
    </row>
    <row r="30" spans="1:27" x14ac:dyDescent="0.2">
      <c r="A30" s="18"/>
      <c r="B30" s="38"/>
      <c r="C30" s="38"/>
      <c r="D30" s="43" t="s">
        <v>561</v>
      </c>
      <c r="E30" s="43">
        <v>1</v>
      </c>
      <c r="F30" s="43">
        <v>2</v>
      </c>
      <c r="G30" s="43">
        <v>3</v>
      </c>
      <c r="H30" s="43" t="s">
        <v>562</v>
      </c>
      <c r="I30" s="38"/>
      <c r="J30" s="38"/>
      <c r="K30" s="38"/>
      <c r="L30" s="38"/>
      <c r="M30" s="18"/>
      <c r="O30" s="18"/>
      <c r="P30" s="38"/>
      <c r="Q30" s="38"/>
      <c r="R30" s="43" t="s">
        <v>561</v>
      </c>
      <c r="S30" s="43">
        <v>1</v>
      </c>
      <c r="T30" s="43">
        <v>2</v>
      </c>
      <c r="U30" s="43">
        <v>3</v>
      </c>
      <c r="V30" s="43" t="s">
        <v>562</v>
      </c>
      <c r="W30" s="38"/>
      <c r="X30" s="38"/>
      <c r="Y30" s="38"/>
      <c r="Z30" s="38"/>
      <c r="AA30" s="18"/>
    </row>
    <row r="31" spans="1:27" x14ac:dyDescent="0.2">
      <c r="A31" s="183" t="s">
        <v>445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"/>
      <c r="O31" s="183" t="s">
        <v>445</v>
      </c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"/>
    </row>
  </sheetData>
  <mergeCells count="2">
    <mergeCell ref="A31:L31"/>
    <mergeCell ref="O31:Z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4A47-CA69-F643-AFE2-B581FDA5DEFF}">
  <dimension ref="A1:AF28"/>
  <sheetViews>
    <sheetView topLeftCell="B2" workbookViewId="0">
      <selection activeCell="J19" sqref="J19"/>
    </sheetView>
  </sheetViews>
  <sheetFormatPr baseColWidth="10" defaultRowHeight="16" x14ac:dyDescent="0.2"/>
  <cols>
    <col min="1" max="1" width="3.1640625" customWidth="1"/>
    <col min="3" max="3" width="11.33203125" bestFit="1" customWidth="1"/>
    <col min="4" max="4" width="14.6640625" bestFit="1" customWidth="1"/>
    <col min="13" max="13" width="3.33203125" customWidth="1"/>
    <col min="15" max="15" width="3.1640625" customWidth="1"/>
    <col min="17" max="17" width="15.5" bestFit="1" customWidth="1"/>
    <col min="19" max="19" width="15" bestFit="1" customWidth="1"/>
    <col min="20" max="20" width="15.6640625" bestFit="1" customWidth="1"/>
    <col min="21" max="21" width="14.6640625" bestFit="1" customWidth="1"/>
    <col min="26" max="26" width="3.33203125" customWidth="1"/>
    <col min="28" max="28" width="3" customWidth="1"/>
    <col min="29" max="29" width="13.1640625" bestFit="1" customWidth="1"/>
    <col min="30" max="30" width="15.33203125" bestFit="1" customWidth="1"/>
    <col min="31" max="31" width="13.33203125" bestFit="1" customWidth="1"/>
    <col min="32" max="32" width="3" customWidth="1"/>
  </cols>
  <sheetData>
    <row r="1" spans="1:32" ht="17" thickBo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32" ht="17" thickBot="1" x14ac:dyDescent="0.25">
      <c r="A2" s="18"/>
      <c r="B2" s="44" t="s">
        <v>610</v>
      </c>
      <c r="C2" s="44" t="s">
        <v>611</v>
      </c>
      <c r="D2" s="44" t="s">
        <v>601</v>
      </c>
      <c r="E2" s="44" t="s">
        <v>613</v>
      </c>
      <c r="F2" s="38"/>
      <c r="G2" s="38"/>
      <c r="H2" s="38"/>
      <c r="I2" s="38"/>
      <c r="J2" s="38"/>
      <c r="K2" s="38"/>
      <c r="L2" s="38"/>
      <c r="M2" s="18"/>
      <c r="O2" s="18"/>
      <c r="P2" s="204" t="s">
        <v>117</v>
      </c>
      <c r="Q2" s="205"/>
      <c r="R2" s="139" t="s">
        <v>20</v>
      </c>
      <c r="S2" s="71" t="s">
        <v>13</v>
      </c>
      <c r="T2" s="140" t="s">
        <v>77</v>
      </c>
      <c r="U2" s="116" t="s">
        <v>617</v>
      </c>
      <c r="V2" s="38"/>
      <c r="W2" s="38"/>
      <c r="X2" s="202" t="s">
        <v>618</v>
      </c>
      <c r="Y2" s="203"/>
      <c r="Z2" s="18"/>
      <c r="AB2" s="124"/>
      <c r="AC2" s="124"/>
      <c r="AD2" s="124"/>
      <c r="AE2" s="124"/>
      <c r="AF2" s="124"/>
    </row>
    <row r="3" spans="1:32" ht="17" thickBot="1" x14ac:dyDescent="0.25">
      <c r="A3" s="18"/>
      <c r="B3" s="198" t="s">
        <v>612</v>
      </c>
      <c r="C3" s="72" t="s">
        <v>20</v>
      </c>
      <c r="D3" s="72" t="s">
        <v>13</v>
      </c>
      <c r="E3" s="72" t="s">
        <v>77</v>
      </c>
      <c r="F3" s="38"/>
      <c r="G3" s="38"/>
      <c r="H3" s="38"/>
      <c r="I3" s="38"/>
      <c r="J3" s="38"/>
      <c r="K3" s="38"/>
      <c r="L3" s="38"/>
      <c r="M3" s="18"/>
      <c r="O3" s="18"/>
      <c r="P3" s="206"/>
      <c r="Q3" s="207"/>
      <c r="R3" s="63" t="s">
        <v>20</v>
      </c>
      <c r="S3" s="63" t="s">
        <v>15</v>
      </c>
      <c r="T3" s="64" t="s">
        <v>77</v>
      </c>
      <c r="U3" s="116" t="s">
        <v>617</v>
      </c>
      <c r="V3" s="38"/>
      <c r="W3" s="38"/>
      <c r="X3" s="38"/>
      <c r="Y3" s="38"/>
      <c r="Z3" s="18"/>
      <c r="AB3" s="124"/>
      <c r="AC3" s="141" t="s">
        <v>625</v>
      </c>
      <c r="AD3" s="142" t="s">
        <v>626</v>
      </c>
      <c r="AE3" s="143" t="s">
        <v>627</v>
      </c>
      <c r="AF3" s="124"/>
    </row>
    <row r="4" spans="1:32" ht="17" thickBot="1" x14ac:dyDescent="0.25">
      <c r="A4" s="18"/>
      <c r="B4" s="199"/>
      <c r="C4" s="72" t="s">
        <v>20</v>
      </c>
      <c r="D4" s="72" t="s">
        <v>15</v>
      </c>
      <c r="E4" s="72" t="s">
        <v>77</v>
      </c>
      <c r="F4" s="38"/>
      <c r="G4" s="38"/>
      <c r="H4" s="38"/>
      <c r="I4" s="38"/>
      <c r="J4" s="38"/>
      <c r="K4" s="38"/>
      <c r="L4" s="38"/>
      <c r="M4" s="18"/>
      <c r="O4" s="18"/>
      <c r="P4" s="42"/>
      <c r="Q4" s="122"/>
      <c r="R4" s="42"/>
      <c r="S4" s="42"/>
      <c r="T4" s="38"/>
      <c r="U4" s="38"/>
      <c r="V4" s="38"/>
      <c r="W4" s="38"/>
      <c r="X4" s="38"/>
      <c r="Y4" s="38"/>
      <c r="Z4" s="18"/>
      <c r="AB4" s="124"/>
      <c r="AC4" s="124"/>
      <c r="AD4" s="124"/>
      <c r="AE4" s="124"/>
      <c r="AF4" s="124"/>
    </row>
    <row r="5" spans="1:32" ht="17" thickBot="1" x14ac:dyDescent="0.25">
      <c r="A5" s="18"/>
      <c r="B5" s="72" t="s">
        <v>614</v>
      </c>
      <c r="C5" s="72" t="s">
        <v>22</v>
      </c>
      <c r="D5" s="72" t="s">
        <v>615</v>
      </c>
      <c r="E5" s="72" t="s">
        <v>616</v>
      </c>
      <c r="F5" s="38"/>
      <c r="G5" s="38"/>
      <c r="H5" s="38"/>
      <c r="I5" s="38"/>
      <c r="J5" s="38"/>
      <c r="K5" s="38"/>
      <c r="L5" s="38"/>
      <c r="M5" s="18"/>
      <c r="O5" s="18"/>
      <c r="P5" s="204" t="s">
        <v>620</v>
      </c>
      <c r="Q5" s="205"/>
      <c r="R5" s="70" t="s">
        <v>125</v>
      </c>
      <c r="S5" s="42"/>
      <c r="T5" s="38"/>
      <c r="U5" s="38"/>
      <c r="V5" s="38"/>
      <c r="W5" s="38"/>
      <c r="X5" s="38"/>
      <c r="Y5" s="38"/>
      <c r="Z5" s="18"/>
      <c r="AB5" s="124"/>
      <c r="AC5" s="194" t="s">
        <v>583</v>
      </c>
      <c r="AD5" s="195"/>
      <c r="AE5" s="196"/>
      <c r="AF5" s="124"/>
    </row>
    <row r="6" spans="1:32" x14ac:dyDescent="0.2">
      <c r="A6" s="18"/>
      <c r="B6" s="147" t="s">
        <v>630</v>
      </c>
      <c r="C6" s="147" t="s">
        <v>20</v>
      </c>
      <c r="D6" s="147" t="s">
        <v>11</v>
      </c>
      <c r="E6" s="147" t="s">
        <v>631</v>
      </c>
      <c r="F6" s="200" t="s">
        <v>632</v>
      </c>
      <c r="G6" s="201"/>
      <c r="H6" s="201"/>
      <c r="I6" s="38"/>
      <c r="J6" s="38"/>
      <c r="K6" s="38"/>
      <c r="L6" s="38"/>
      <c r="M6" s="18"/>
      <c r="O6" s="18"/>
      <c r="P6" s="208" t="s">
        <v>621</v>
      </c>
      <c r="Q6" s="209"/>
      <c r="R6" s="73" t="s">
        <v>102</v>
      </c>
      <c r="S6" s="42"/>
      <c r="T6" s="38"/>
      <c r="U6" s="38"/>
      <c r="V6" s="38"/>
      <c r="W6" s="38"/>
      <c r="X6" s="38"/>
      <c r="Y6" s="38"/>
      <c r="Z6" s="18"/>
      <c r="AB6" s="124"/>
      <c r="AC6" s="124"/>
      <c r="AD6" s="124"/>
      <c r="AE6" s="124"/>
      <c r="AF6" s="124"/>
    </row>
    <row r="7" spans="1:32" ht="17" thickBot="1" x14ac:dyDescent="0.25">
      <c r="A7" s="18"/>
      <c r="B7" s="124"/>
      <c r="C7" s="124"/>
      <c r="D7" s="124"/>
      <c r="E7" s="124"/>
      <c r="F7" s="38"/>
      <c r="G7" s="38"/>
      <c r="H7" s="38"/>
      <c r="I7" s="38"/>
      <c r="J7" s="38"/>
      <c r="K7" s="38"/>
      <c r="L7" s="38"/>
      <c r="M7" s="18"/>
      <c r="O7" s="18"/>
      <c r="P7" s="208" t="s">
        <v>622</v>
      </c>
      <c r="Q7" s="209"/>
      <c r="R7" s="73" t="s">
        <v>623</v>
      </c>
      <c r="S7" s="42"/>
      <c r="T7" s="38"/>
      <c r="U7" s="38"/>
      <c r="V7" s="38"/>
      <c r="W7" s="38"/>
      <c r="X7" s="38"/>
      <c r="Y7" s="38"/>
      <c r="Z7" s="18"/>
    </row>
    <row r="8" spans="1:32" ht="17" thickBot="1" x14ac:dyDescent="0.25">
      <c r="A8" s="1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18"/>
      <c r="O8" s="18"/>
      <c r="P8" s="206" t="s">
        <v>355</v>
      </c>
      <c r="Q8" s="207"/>
      <c r="R8" s="74" t="s">
        <v>267</v>
      </c>
      <c r="S8" s="38"/>
      <c r="T8" s="116" t="s">
        <v>624</v>
      </c>
      <c r="U8" s="38"/>
      <c r="V8" s="38"/>
      <c r="W8" s="38"/>
      <c r="X8" s="38"/>
      <c r="Y8" s="38"/>
      <c r="Z8" s="18"/>
      <c r="AB8" s="197" t="s">
        <v>628</v>
      </c>
      <c r="AC8" s="197"/>
      <c r="AD8" s="197"/>
      <c r="AE8" s="197"/>
      <c r="AF8" s="197"/>
    </row>
    <row r="9" spans="1:32" x14ac:dyDescent="0.2">
      <c r="A9" s="1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18"/>
      <c r="O9" s="18"/>
      <c r="P9" s="38"/>
      <c r="Q9" s="38"/>
      <c r="R9" s="38"/>
      <c r="S9" s="38"/>
      <c r="T9" s="122" t="s">
        <v>629</v>
      </c>
      <c r="U9" s="38"/>
      <c r="V9" s="38"/>
      <c r="W9" s="38"/>
      <c r="X9" s="38"/>
      <c r="Y9" s="38"/>
      <c r="Z9" s="18"/>
      <c r="AB9" s="197"/>
      <c r="AC9" s="197"/>
      <c r="AD9" s="197"/>
      <c r="AE9" s="197"/>
      <c r="AF9" s="197"/>
    </row>
    <row r="10" spans="1:32" x14ac:dyDescent="0.2">
      <c r="A10" s="1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18"/>
      <c r="O10" s="18"/>
      <c r="P10" s="38"/>
      <c r="Q10" s="38"/>
      <c r="R10" s="38"/>
      <c r="S10" s="38"/>
      <c r="T10" s="122"/>
      <c r="U10" s="38"/>
      <c r="V10" s="38"/>
      <c r="W10" s="38"/>
      <c r="X10" s="38"/>
      <c r="Y10" s="38"/>
      <c r="Z10" s="18"/>
    </row>
    <row r="11" spans="1:32" x14ac:dyDescent="0.2">
      <c r="A11" s="1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18"/>
      <c r="O11" s="1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18"/>
    </row>
    <row r="12" spans="1:32" x14ac:dyDescent="0.2">
      <c r="A12" s="1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18"/>
      <c r="O12" s="1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18"/>
    </row>
    <row r="13" spans="1:32" x14ac:dyDescent="0.2">
      <c r="A13" s="1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18"/>
      <c r="O13" s="1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18"/>
    </row>
    <row r="14" spans="1:32" x14ac:dyDescent="0.2">
      <c r="A14" s="1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18"/>
      <c r="O14" s="1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18"/>
    </row>
    <row r="15" spans="1:32" x14ac:dyDescent="0.2">
      <c r="A15" s="1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18"/>
      <c r="O15" s="1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18"/>
    </row>
    <row r="16" spans="1:32" x14ac:dyDescent="0.2">
      <c r="A16" s="1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18"/>
      <c r="O16" s="1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18"/>
    </row>
    <row r="17" spans="1:26" x14ac:dyDescent="0.2">
      <c r="A17" s="1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18"/>
      <c r="O17" s="1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18"/>
    </row>
    <row r="18" spans="1:26" x14ac:dyDescent="0.2">
      <c r="A18" s="1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18"/>
      <c r="O18" s="1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18"/>
    </row>
    <row r="19" spans="1:26" x14ac:dyDescent="0.2">
      <c r="A19" s="1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8"/>
      <c r="O19" s="1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18"/>
    </row>
    <row r="20" spans="1:26" x14ac:dyDescent="0.2">
      <c r="A20" s="1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8"/>
      <c r="O20" s="1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18"/>
    </row>
    <row r="21" spans="1:26" x14ac:dyDescent="0.2">
      <c r="A21" s="1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8"/>
      <c r="O21" s="1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18"/>
    </row>
    <row r="22" spans="1:26" x14ac:dyDescent="0.2">
      <c r="A22" s="1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8"/>
      <c r="O22" s="1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18"/>
    </row>
    <row r="23" spans="1:26" x14ac:dyDescent="0.2">
      <c r="A23" s="1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8"/>
      <c r="O23" s="1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18"/>
    </row>
    <row r="24" spans="1:26" x14ac:dyDescent="0.2">
      <c r="A24" s="1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18"/>
      <c r="O24" s="1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18"/>
    </row>
    <row r="25" spans="1:26" x14ac:dyDescent="0.2">
      <c r="A25" s="1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18"/>
      <c r="O25" s="1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18"/>
    </row>
    <row r="26" spans="1:26" ht="17" thickBot="1" x14ac:dyDescent="0.25">
      <c r="A26" s="1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18"/>
      <c r="O26" s="1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18"/>
    </row>
    <row r="27" spans="1:26" ht="17" thickBot="1" x14ac:dyDescent="0.25">
      <c r="A27" s="1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18"/>
      <c r="O27" s="18"/>
      <c r="P27" s="38"/>
      <c r="Q27" s="38"/>
      <c r="R27" s="38"/>
      <c r="S27" s="38"/>
      <c r="T27" s="38"/>
      <c r="U27" s="38"/>
      <c r="V27" s="38"/>
      <c r="W27" s="38"/>
      <c r="X27" s="202" t="s">
        <v>619</v>
      </c>
      <c r="Y27" s="203"/>
      <c r="Z27" s="18"/>
    </row>
    <row r="28" spans="1:26" x14ac:dyDescent="0.2">
      <c r="A28" s="183" t="s">
        <v>445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"/>
      <c r="O28" s="183" t="s">
        <v>445</v>
      </c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"/>
    </row>
  </sheetData>
  <mergeCells count="13">
    <mergeCell ref="X2:Y2"/>
    <mergeCell ref="P2:Q3"/>
    <mergeCell ref="X27:Y27"/>
    <mergeCell ref="P5:Q5"/>
    <mergeCell ref="P6:Q6"/>
    <mergeCell ref="P7:Q7"/>
    <mergeCell ref="P8:Q8"/>
    <mergeCell ref="AC5:AE5"/>
    <mergeCell ref="AB8:AF9"/>
    <mergeCell ref="A28:L28"/>
    <mergeCell ref="O28:Y28"/>
    <mergeCell ref="B3:B4"/>
    <mergeCell ref="F6:H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F701-8FCB-F146-AF33-8094D3DB8ED7}">
  <dimension ref="A1:M28"/>
  <sheetViews>
    <sheetView tabSelected="1" workbookViewId="0">
      <selection activeCell="H3" sqref="H3"/>
    </sheetView>
  </sheetViews>
  <sheetFormatPr baseColWidth="10" defaultRowHeight="16" x14ac:dyDescent="0.2"/>
  <cols>
    <col min="1" max="1" width="3.1640625" customWidth="1"/>
    <col min="2" max="2" width="18.6640625" customWidth="1"/>
    <col min="13" max="13" width="3.33203125" customWidth="1"/>
  </cols>
  <sheetData>
    <row r="1" spans="1:13" ht="17" thickBo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">
      <c r="A2" s="18"/>
      <c r="B2" s="54" t="s">
        <v>610</v>
      </c>
      <c r="C2" s="48" t="s">
        <v>355</v>
      </c>
      <c r="D2" s="42"/>
      <c r="E2" s="42"/>
      <c r="F2" s="38"/>
      <c r="G2" s="38"/>
      <c r="H2" s="38"/>
      <c r="I2" s="38"/>
      <c r="J2" s="38"/>
      <c r="K2" s="38"/>
      <c r="L2" s="38"/>
      <c r="M2" s="18"/>
    </row>
    <row r="3" spans="1:13" x14ac:dyDescent="0.2">
      <c r="A3" s="18"/>
      <c r="B3" s="82" t="s">
        <v>177</v>
      </c>
      <c r="C3" s="61" t="s">
        <v>267</v>
      </c>
      <c r="D3" s="42"/>
      <c r="E3" s="42"/>
      <c r="F3" s="38"/>
      <c r="G3" s="38"/>
      <c r="H3" s="38"/>
      <c r="I3" s="38"/>
      <c r="J3" s="38"/>
      <c r="K3" s="38"/>
      <c r="L3" s="38"/>
      <c r="M3" s="18"/>
    </row>
    <row r="4" spans="1:13" x14ac:dyDescent="0.2">
      <c r="A4" s="18"/>
      <c r="B4" s="144" t="s">
        <v>13</v>
      </c>
      <c r="C4" s="61" t="s">
        <v>267</v>
      </c>
      <c r="D4" s="69"/>
      <c r="E4" s="69"/>
      <c r="F4" s="38"/>
      <c r="G4" s="38"/>
      <c r="H4" s="38"/>
      <c r="I4" s="38"/>
      <c r="J4" s="38"/>
      <c r="K4" s="38"/>
      <c r="L4" s="38"/>
      <c r="M4" s="18"/>
    </row>
    <row r="5" spans="1:13" x14ac:dyDescent="0.2">
      <c r="A5" s="18"/>
      <c r="B5" s="145" t="s">
        <v>580</v>
      </c>
      <c r="C5" s="61" t="s">
        <v>541</v>
      </c>
      <c r="D5" s="69"/>
      <c r="E5" s="69"/>
      <c r="F5" s="38"/>
      <c r="G5" s="38"/>
      <c r="H5" s="38"/>
      <c r="I5" s="38"/>
      <c r="J5" s="38"/>
      <c r="K5" s="38"/>
      <c r="L5" s="38"/>
      <c r="M5" s="18"/>
    </row>
    <row r="6" spans="1:13" x14ac:dyDescent="0.2">
      <c r="A6" s="18"/>
      <c r="B6" s="145" t="s">
        <v>580</v>
      </c>
      <c r="C6" s="61" t="s">
        <v>267</v>
      </c>
      <c r="D6" s="69"/>
      <c r="E6" s="69"/>
      <c r="F6" s="38"/>
      <c r="G6" s="38"/>
      <c r="H6" s="38"/>
      <c r="I6" s="38"/>
      <c r="J6" s="38"/>
      <c r="K6" s="38"/>
      <c r="L6" s="38"/>
      <c r="M6" s="18"/>
    </row>
    <row r="7" spans="1:13" ht="17" thickBot="1" x14ac:dyDescent="0.25">
      <c r="A7" s="18"/>
      <c r="B7" s="146" t="s">
        <v>580</v>
      </c>
      <c r="C7" s="64" t="s">
        <v>267</v>
      </c>
      <c r="D7" s="42"/>
      <c r="E7" s="42"/>
      <c r="F7" s="38"/>
      <c r="G7" s="38"/>
      <c r="H7" s="38"/>
      <c r="I7" s="38"/>
      <c r="J7" s="38"/>
      <c r="K7" s="38"/>
      <c r="L7" s="38"/>
      <c r="M7" s="18"/>
    </row>
    <row r="8" spans="1:13" x14ac:dyDescent="0.2">
      <c r="A8" s="1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18"/>
    </row>
    <row r="9" spans="1:13" x14ac:dyDescent="0.2">
      <c r="A9" s="1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18"/>
    </row>
    <row r="10" spans="1:13" x14ac:dyDescent="0.2">
      <c r="A10" s="1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18"/>
    </row>
    <row r="11" spans="1:13" x14ac:dyDescent="0.2">
      <c r="A11" s="1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18"/>
    </row>
    <row r="12" spans="1:13" x14ac:dyDescent="0.2">
      <c r="A12" s="1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18"/>
    </row>
    <row r="13" spans="1:13" x14ac:dyDescent="0.2">
      <c r="A13" s="1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18"/>
    </row>
    <row r="14" spans="1:13" x14ac:dyDescent="0.2">
      <c r="A14" s="1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18"/>
    </row>
    <row r="15" spans="1:13" x14ac:dyDescent="0.2">
      <c r="A15" s="1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18"/>
    </row>
    <row r="16" spans="1:13" x14ac:dyDescent="0.2">
      <c r="A16" s="1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18"/>
    </row>
    <row r="17" spans="1:13" x14ac:dyDescent="0.2">
      <c r="A17" s="1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18"/>
    </row>
    <row r="18" spans="1:13" x14ac:dyDescent="0.2">
      <c r="A18" s="1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18"/>
    </row>
    <row r="19" spans="1:13" x14ac:dyDescent="0.2">
      <c r="A19" s="1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8"/>
    </row>
    <row r="20" spans="1:13" x14ac:dyDescent="0.2">
      <c r="A20" s="1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8"/>
    </row>
    <row r="21" spans="1:13" x14ac:dyDescent="0.2">
      <c r="A21" s="1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8"/>
    </row>
    <row r="22" spans="1:13" x14ac:dyDescent="0.2">
      <c r="A22" s="1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8"/>
    </row>
    <row r="23" spans="1:13" x14ac:dyDescent="0.2">
      <c r="A23" s="1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8"/>
    </row>
    <row r="24" spans="1:13" x14ac:dyDescent="0.2">
      <c r="A24" s="1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18"/>
    </row>
    <row r="25" spans="1:13" x14ac:dyDescent="0.2">
      <c r="A25" s="1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18"/>
    </row>
    <row r="26" spans="1:13" x14ac:dyDescent="0.2">
      <c r="A26" s="1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18"/>
    </row>
    <row r="27" spans="1:13" x14ac:dyDescent="0.2">
      <c r="A27" s="1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18"/>
    </row>
    <row r="28" spans="1:13" x14ac:dyDescent="0.2">
      <c r="A28" s="183" t="s">
        <v>445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"/>
    </row>
  </sheetData>
  <mergeCells count="1">
    <mergeCell ref="A28:L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E285-357D-9249-B9CF-D82A6749FA95}">
  <dimension ref="A1:AS42"/>
  <sheetViews>
    <sheetView workbookViewId="0">
      <selection activeCell="D26" sqref="D26:H26"/>
    </sheetView>
  </sheetViews>
  <sheetFormatPr baseColWidth="10" defaultRowHeight="16" x14ac:dyDescent="0.2"/>
  <cols>
    <col min="1" max="1" width="2.6640625" style="17" customWidth="1"/>
    <col min="2" max="2" width="10.83203125" style="17"/>
    <col min="3" max="3" width="13.6640625" style="17" customWidth="1"/>
    <col min="4" max="8" width="10.83203125" style="17"/>
    <col min="9" max="9" width="11.1640625" style="17" bestFit="1" customWidth="1"/>
    <col min="10" max="11" width="10.83203125" style="17"/>
    <col min="12" max="12" width="13.5" style="17" customWidth="1"/>
    <col min="13" max="13" width="2.83203125" style="17" customWidth="1"/>
    <col min="14" max="14" width="2.6640625" style="17" customWidth="1"/>
    <col min="16" max="16" width="2.83203125" customWidth="1"/>
    <col min="32" max="32" width="3.1640625" customWidth="1"/>
    <col min="34" max="34" width="2.6640625" customWidth="1"/>
    <col min="35" max="35" width="9.1640625" bestFit="1" customWidth="1"/>
    <col min="37" max="37" width="3" customWidth="1"/>
    <col min="39" max="39" width="3" customWidth="1"/>
    <col min="40" max="41" width="2.83203125" customWidth="1"/>
    <col min="42" max="42" width="8" customWidth="1"/>
    <col min="44" max="44" width="3.5" customWidth="1"/>
    <col min="45" max="45" width="2.6640625" customWidth="1"/>
  </cols>
  <sheetData>
    <row r="1" spans="1:39" ht="17" thickBo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7"/>
      <c r="AH1" s="17"/>
    </row>
    <row r="2" spans="1:39" ht="17" thickBot="1" x14ac:dyDescent="0.25">
      <c r="A2" s="18"/>
      <c r="B2" s="254" t="s">
        <v>560</v>
      </c>
      <c r="C2" s="255"/>
      <c r="D2" s="38"/>
      <c r="E2" s="120" t="s">
        <v>417</v>
      </c>
      <c r="F2" s="121" t="s">
        <v>193</v>
      </c>
      <c r="G2" s="121" t="s">
        <v>42</v>
      </c>
      <c r="H2" s="121" t="s">
        <v>36</v>
      </c>
      <c r="I2" s="121" t="s">
        <v>46</v>
      </c>
      <c r="J2" s="58" t="s">
        <v>562</v>
      </c>
      <c r="K2" s="38"/>
      <c r="L2" s="38"/>
      <c r="M2" s="38"/>
      <c r="N2" s="18"/>
      <c r="P2" s="18"/>
      <c r="Q2" s="245" t="s">
        <v>347</v>
      </c>
      <c r="R2" s="248"/>
      <c r="S2" s="54" t="s">
        <v>355</v>
      </c>
      <c r="T2" s="55" t="s">
        <v>358</v>
      </c>
      <c r="U2" s="55" t="s">
        <v>530</v>
      </c>
      <c r="V2" s="55" t="s">
        <v>529</v>
      </c>
      <c r="W2" s="48" t="s">
        <v>528</v>
      </c>
      <c r="X2" s="42"/>
      <c r="Y2" s="256" t="s">
        <v>587</v>
      </c>
      <c r="Z2" s="257"/>
      <c r="AA2" s="257" t="s">
        <v>588</v>
      </c>
      <c r="AB2" s="257"/>
      <c r="AC2" s="93" t="s">
        <v>543</v>
      </c>
      <c r="AD2" s="260" t="s">
        <v>589</v>
      </c>
      <c r="AE2" s="261"/>
      <c r="AF2" s="18"/>
      <c r="AG2" s="17"/>
      <c r="AH2" s="17"/>
    </row>
    <row r="3" spans="1:39" ht="17" thickBot="1" x14ac:dyDescent="0.25">
      <c r="A3" s="1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8"/>
      <c r="P3" s="18"/>
      <c r="Q3" s="262" t="s">
        <v>527</v>
      </c>
      <c r="R3" s="263"/>
      <c r="S3" s="83" t="s">
        <v>47</v>
      </c>
      <c r="T3" s="84" t="s">
        <v>54</v>
      </c>
      <c r="U3" s="85" t="s">
        <v>51</v>
      </c>
      <c r="V3" s="86" t="s">
        <v>50</v>
      </c>
      <c r="W3" s="87" t="s">
        <v>52</v>
      </c>
      <c r="X3" s="42"/>
      <c r="Y3" s="38"/>
      <c r="Z3" s="38"/>
      <c r="AA3" s="38"/>
      <c r="AB3" s="38"/>
      <c r="AC3" s="38"/>
      <c r="AD3" s="38"/>
      <c r="AE3" s="38"/>
      <c r="AF3" s="18"/>
      <c r="AG3" s="17"/>
      <c r="AH3" s="17"/>
    </row>
    <row r="4" spans="1:39" s="26" customFormat="1" ht="17" thickBot="1" x14ac:dyDescent="0.25">
      <c r="A4" s="39"/>
      <c r="B4" s="54" t="s">
        <v>347</v>
      </c>
      <c r="C4" s="55" t="s">
        <v>346</v>
      </c>
      <c r="D4" s="55" t="s">
        <v>531</v>
      </c>
      <c r="E4" s="55" t="s">
        <v>531</v>
      </c>
      <c r="F4" s="55" t="s">
        <v>355</v>
      </c>
      <c r="G4" s="55" t="s">
        <v>531</v>
      </c>
      <c r="H4" s="55" t="s">
        <v>531</v>
      </c>
      <c r="I4" s="55" t="s">
        <v>358</v>
      </c>
      <c r="J4" s="55" t="s">
        <v>531</v>
      </c>
      <c r="K4" s="55" t="s">
        <v>365</v>
      </c>
      <c r="L4" s="48" t="s">
        <v>367</v>
      </c>
      <c r="M4" s="42"/>
      <c r="N4" s="39"/>
      <c r="P4" s="18"/>
      <c r="Q4" s="38"/>
      <c r="R4" s="38"/>
      <c r="S4" s="38"/>
      <c r="T4" s="38"/>
      <c r="U4" s="38"/>
      <c r="V4" s="38"/>
      <c r="W4" s="38"/>
      <c r="X4" s="38"/>
      <c r="Y4" s="54" t="s">
        <v>536</v>
      </c>
      <c r="Z4" s="55" t="s">
        <v>359</v>
      </c>
      <c r="AA4" s="55" t="s">
        <v>361</v>
      </c>
      <c r="AB4" s="55" t="s">
        <v>362</v>
      </c>
      <c r="AC4" s="55" t="s">
        <v>363</v>
      </c>
      <c r="AD4" s="48" t="s">
        <v>355</v>
      </c>
      <c r="AE4" s="42"/>
      <c r="AF4" s="18"/>
      <c r="AG4" s="17"/>
      <c r="AH4" s="216" t="s">
        <v>592</v>
      </c>
      <c r="AI4" s="216"/>
      <c r="AJ4" s="216"/>
      <c r="AK4" s="216"/>
    </row>
    <row r="5" spans="1:39" ht="17" thickBot="1" x14ac:dyDescent="0.25">
      <c r="A5" s="18"/>
      <c r="B5" s="52"/>
      <c r="C5" s="43"/>
      <c r="D5" s="43"/>
      <c r="E5" s="43"/>
      <c r="F5" s="43"/>
      <c r="G5" s="43"/>
      <c r="H5" s="43"/>
      <c r="I5" s="43"/>
      <c r="J5" s="43"/>
      <c r="K5" s="43"/>
      <c r="L5" s="49"/>
      <c r="M5" s="19"/>
      <c r="N5" s="18"/>
      <c r="P5" s="18"/>
      <c r="Q5" s="264" t="s">
        <v>346</v>
      </c>
      <c r="R5" s="265"/>
      <c r="S5" s="266">
        <v>46065</v>
      </c>
      <c r="T5" s="266"/>
      <c r="U5" s="266"/>
      <c r="V5" s="267"/>
      <c r="W5" s="75"/>
      <c r="X5" s="38"/>
      <c r="Y5" s="82" t="s">
        <v>540</v>
      </c>
      <c r="Z5" s="72" t="s">
        <v>221</v>
      </c>
      <c r="AA5" s="66">
        <v>500</v>
      </c>
      <c r="AB5" s="66"/>
      <c r="AC5" s="66">
        <v>500</v>
      </c>
      <c r="AD5" s="57" t="s">
        <v>541</v>
      </c>
      <c r="AE5" s="115" t="s">
        <v>539</v>
      </c>
      <c r="AF5" s="18"/>
      <c r="AG5" s="17"/>
      <c r="AH5" s="45"/>
      <c r="AI5" s="131"/>
      <c r="AJ5" s="131"/>
      <c r="AK5" s="132"/>
    </row>
    <row r="6" spans="1:39" ht="17" thickBot="1" x14ac:dyDescent="0.25">
      <c r="A6" s="18"/>
      <c r="B6" s="52"/>
      <c r="C6" s="43"/>
      <c r="D6" s="43"/>
      <c r="E6" s="43"/>
      <c r="F6" s="43"/>
      <c r="G6" s="43"/>
      <c r="H6" s="43"/>
      <c r="I6" s="43"/>
      <c r="J6" s="43"/>
      <c r="K6" s="43"/>
      <c r="L6" s="49"/>
      <c r="M6" s="19"/>
      <c r="N6" s="18"/>
      <c r="P6" s="18"/>
      <c r="Q6" s="237" t="s">
        <v>353</v>
      </c>
      <c r="R6" s="238"/>
      <c r="S6" s="239"/>
      <c r="T6" s="239"/>
      <c r="U6" s="239"/>
      <c r="V6" s="240"/>
      <c r="W6" s="75"/>
      <c r="X6" s="38"/>
      <c r="Y6" s="82" t="s">
        <v>238</v>
      </c>
      <c r="Z6" s="72" t="s">
        <v>542</v>
      </c>
      <c r="AA6" s="66">
        <v>2000</v>
      </c>
      <c r="AB6" s="66">
        <v>0</v>
      </c>
      <c r="AC6" s="66">
        <v>2000</v>
      </c>
      <c r="AD6" s="57" t="s">
        <v>541</v>
      </c>
      <c r="AE6" s="115" t="s">
        <v>539</v>
      </c>
      <c r="AF6" s="18"/>
      <c r="AG6" s="17"/>
      <c r="AH6" s="46"/>
      <c r="AI6" s="125" t="s">
        <v>535</v>
      </c>
      <c r="AJ6" s="126" t="s">
        <v>532</v>
      </c>
      <c r="AK6" s="133"/>
    </row>
    <row r="7" spans="1:39" ht="17" thickBot="1" x14ac:dyDescent="0.25">
      <c r="A7" s="18"/>
      <c r="B7" s="52"/>
      <c r="C7" s="43"/>
      <c r="D7" s="43"/>
      <c r="E7" s="43"/>
      <c r="F7" s="43"/>
      <c r="G7" s="43"/>
      <c r="H7" s="43"/>
      <c r="I7" s="43"/>
      <c r="J7" s="43"/>
      <c r="K7" s="43"/>
      <c r="L7" s="49"/>
      <c r="M7" s="19"/>
      <c r="N7" s="18"/>
      <c r="P7" s="18"/>
      <c r="Q7" s="237"/>
      <c r="R7" s="238"/>
      <c r="S7" s="239"/>
      <c r="T7" s="239"/>
      <c r="U7" s="239"/>
      <c r="V7" s="240"/>
      <c r="W7" s="75"/>
      <c r="X7" s="38"/>
      <c r="Y7" s="82" t="s">
        <v>238</v>
      </c>
      <c r="Z7" s="72" t="s">
        <v>221</v>
      </c>
      <c r="AA7" s="66"/>
      <c r="AB7" s="66"/>
      <c r="AC7" s="60"/>
      <c r="AD7" s="57" t="s">
        <v>267</v>
      </c>
      <c r="AE7" s="115" t="s">
        <v>539</v>
      </c>
      <c r="AF7" s="18"/>
      <c r="AG7" s="17"/>
      <c r="AH7" s="46"/>
      <c r="AI7" s="127" t="s">
        <v>584</v>
      </c>
      <c r="AJ7" s="128" t="s">
        <v>501</v>
      </c>
      <c r="AK7" s="133"/>
      <c r="AL7" s="136"/>
    </row>
    <row r="8" spans="1:39" ht="17" thickBot="1" x14ac:dyDescent="0.25">
      <c r="A8" s="18"/>
      <c r="B8" s="52"/>
      <c r="C8" s="43"/>
      <c r="D8" s="43"/>
      <c r="E8" s="43"/>
      <c r="F8" s="43"/>
      <c r="G8" s="43"/>
      <c r="H8" s="43"/>
      <c r="I8" s="43"/>
      <c r="J8" s="43"/>
      <c r="K8" s="43"/>
      <c r="L8" s="49"/>
      <c r="M8" s="19"/>
      <c r="N8" s="18"/>
      <c r="P8" s="18"/>
      <c r="Q8" s="237" t="s">
        <v>531</v>
      </c>
      <c r="R8" s="238"/>
      <c r="S8" s="239"/>
      <c r="T8" s="239"/>
      <c r="U8" s="239"/>
      <c r="V8" s="240"/>
      <c r="W8" s="75"/>
      <c r="X8" s="38"/>
      <c r="Y8" s="59"/>
      <c r="Z8" s="60"/>
      <c r="AA8" s="60"/>
      <c r="AB8" s="60"/>
      <c r="AC8" s="60"/>
      <c r="AD8" s="61"/>
      <c r="AE8" s="65"/>
      <c r="AF8" s="18"/>
      <c r="AG8" s="17"/>
      <c r="AH8" s="46"/>
      <c r="AI8" s="124"/>
      <c r="AJ8" s="124"/>
      <c r="AK8" s="133"/>
    </row>
    <row r="9" spans="1:39" ht="17" thickBot="1" x14ac:dyDescent="0.25">
      <c r="A9" s="18"/>
      <c r="B9" s="52"/>
      <c r="C9" s="43"/>
      <c r="D9" s="43"/>
      <c r="E9" s="43"/>
      <c r="F9" s="43"/>
      <c r="G9" s="43"/>
      <c r="H9" s="43"/>
      <c r="I9" s="43"/>
      <c r="J9" s="43"/>
      <c r="K9" s="43"/>
      <c r="L9" s="49"/>
      <c r="M9" s="19"/>
      <c r="N9" s="18"/>
      <c r="P9" s="18"/>
      <c r="Q9" s="237" t="s">
        <v>531</v>
      </c>
      <c r="R9" s="238"/>
      <c r="S9" s="239"/>
      <c r="T9" s="239"/>
      <c r="U9" s="239"/>
      <c r="V9" s="240"/>
      <c r="W9" s="75"/>
      <c r="X9" s="38"/>
      <c r="Y9" s="59"/>
      <c r="Z9" s="60"/>
      <c r="AA9" s="249" t="s">
        <v>544</v>
      </c>
      <c r="AB9" s="67"/>
      <c r="AC9" s="249" t="s">
        <v>545</v>
      </c>
      <c r="AD9" s="251" t="s">
        <v>572</v>
      </c>
      <c r="AE9" s="253"/>
      <c r="AF9" s="18"/>
      <c r="AG9" s="17"/>
      <c r="AH9" s="46"/>
      <c r="AI9" s="230" t="s">
        <v>583</v>
      </c>
      <c r="AJ9" s="232"/>
      <c r="AK9" s="133"/>
    </row>
    <row r="10" spans="1:39" ht="17" thickBot="1" x14ac:dyDescent="0.25">
      <c r="A10" s="18"/>
      <c r="B10" s="52"/>
      <c r="C10" s="43"/>
      <c r="D10" s="43"/>
      <c r="E10" s="43"/>
      <c r="F10" s="43"/>
      <c r="G10" s="43"/>
      <c r="H10" s="43"/>
      <c r="I10" s="43"/>
      <c r="J10" s="43"/>
      <c r="K10" s="43"/>
      <c r="L10" s="49"/>
      <c r="M10" s="19"/>
      <c r="N10" s="18"/>
      <c r="P10" s="18"/>
      <c r="Q10" s="237" t="s">
        <v>531</v>
      </c>
      <c r="R10" s="238"/>
      <c r="S10" s="239"/>
      <c r="T10" s="239"/>
      <c r="U10" s="239"/>
      <c r="V10" s="240"/>
      <c r="W10" s="75"/>
      <c r="X10" s="38"/>
      <c r="Y10" s="59"/>
      <c r="Z10" s="60"/>
      <c r="AA10" s="249"/>
      <c r="AB10" s="67"/>
      <c r="AC10" s="249"/>
      <c r="AD10" s="251"/>
      <c r="AE10" s="253"/>
      <c r="AF10" s="18"/>
      <c r="AG10" s="17"/>
      <c r="AH10" s="47"/>
      <c r="AI10" s="134"/>
      <c r="AJ10" s="134"/>
      <c r="AK10" s="135"/>
    </row>
    <row r="11" spans="1:39" x14ac:dyDescent="0.2">
      <c r="A11" s="18"/>
      <c r="B11" s="52"/>
      <c r="C11" s="43"/>
      <c r="D11" s="43"/>
      <c r="E11" s="43"/>
      <c r="F11" s="43"/>
      <c r="G11" s="43"/>
      <c r="H11" s="43"/>
      <c r="I11" s="43"/>
      <c r="J11" s="43"/>
      <c r="K11" s="43"/>
      <c r="L11" s="49"/>
      <c r="M11" s="19"/>
      <c r="N11" s="18"/>
      <c r="P11" s="18"/>
      <c r="Q11" s="237" t="s">
        <v>349</v>
      </c>
      <c r="R11" s="238"/>
      <c r="S11" s="258">
        <v>18</v>
      </c>
      <c r="T11" s="258"/>
      <c r="U11" s="258"/>
      <c r="V11" s="259"/>
      <c r="W11" s="75"/>
      <c r="X11" s="38"/>
      <c r="Y11" s="59"/>
      <c r="Z11" s="60"/>
      <c r="AA11" s="249"/>
      <c r="AB11" s="67"/>
      <c r="AC11" s="249"/>
      <c r="AD11" s="251"/>
      <c r="AE11" s="253"/>
      <c r="AF11" s="18"/>
      <c r="AG11" s="17"/>
      <c r="AH11" s="17"/>
    </row>
    <row r="12" spans="1:39" x14ac:dyDescent="0.2">
      <c r="A12" s="18"/>
      <c r="B12" s="52"/>
      <c r="C12" s="43"/>
      <c r="D12" s="43"/>
      <c r="E12" s="43"/>
      <c r="F12" s="43"/>
      <c r="G12" s="43"/>
      <c r="H12" s="43"/>
      <c r="I12" s="43"/>
      <c r="J12" s="43"/>
      <c r="K12" s="43"/>
      <c r="L12" s="49"/>
      <c r="M12" s="19"/>
      <c r="N12" s="18"/>
      <c r="P12" s="18"/>
      <c r="Q12" s="237" t="s">
        <v>531</v>
      </c>
      <c r="R12" s="238"/>
      <c r="S12" s="239"/>
      <c r="T12" s="239"/>
      <c r="U12" s="239"/>
      <c r="V12" s="240"/>
      <c r="W12" s="75"/>
      <c r="X12" s="38"/>
      <c r="Y12" s="59"/>
      <c r="Z12" s="60"/>
      <c r="AA12" s="249"/>
      <c r="AB12" s="67"/>
      <c r="AC12" s="249"/>
      <c r="AD12" s="251"/>
      <c r="AE12" s="253"/>
      <c r="AF12" s="18"/>
      <c r="AG12" s="17"/>
      <c r="AH12" s="17"/>
    </row>
    <row r="13" spans="1:39" x14ac:dyDescent="0.2">
      <c r="A13" s="18"/>
      <c r="B13" s="52"/>
      <c r="C13" s="43"/>
      <c r="D13" s="43"/>
      <c r="E13" s="43"/>
      <c r="F13" s="43"/>
      <c r="G13" s="43"/>
      <c r="H13" s="43"/>
      <c r="I13" s="43"/>
      <c r="J13" s="43"/>
      <c r="K13" s="43"/>
      <c r="L13" s="49"/>
      <c r="M13" s="19"/>
      <c r="N13" s="18"/>
      <c r="P13" s="18"/>
      <c r="Q13" s="237" t="s">
        <v>531</v>
      </c>
      <c r="R13" s="238"/>
      <c r="S13" s="239"/>
      <c r="T13" s="239"/>
      <c r="U13" s="239"/>
      <c r="V13" s="240"/>
      <c r="W13" s="75"/>
      <c r="X13" s="38"/>
      <c r="Y13" s="59"/>
      <c r="Z13" s="60"/>
      <c r="AA13" s="249"/>
      <c r="AB13" s="67"/>
      <c r="AC13" s="249"/>
      <c r="AD13" s="251"/>
      <c r="AE13" s="253"/>
      <c r="AF13" s="18"/>
      <c r="AG13" s="17"/>
      <c r="AH13" s="17"/>
    </row>
    <row r="14" spans="1:39" x14ac:dyDescent="0.2">
      <c r="A14" s="18"/>
      <c r="B14" s="52"/>
      <c r="C14" s="43"/>
      <c r="D14" s="43"/>
      <c r="E14" s="43"/>
      <c r="F14" s="43"/>
      <c r="G14" s="43"/>
      <c r="H14" s="43"/>
      <c r="I14" s="43"/>
      <c r="J14" s="43"/>
      <c r="K14" s="43"/>
      <c r="L14" s="49"/>
      <c r="M14" s="19"/>
      <c r="N14" s="18"/>
      <c r="P14" s="18"/>
      <c r="Q14" s="237" t="s">
        <v>531</v>
      </c>
      <c r="R14" s="238"/>
      <c r="S14" s="239"/>
      <c r="T14" s="239"/>
      <c r="U14" s="239"/>
      <c r="V14" s="240"/>
      <c r="W14" s="75"/>
      <c r="X14" s="38"/>
      <c r="Y14" s="59"/>
      <c r="Z14" s="60"/>
      <c r="AA14" s="249"/>
      <c r="AB14" s="67"/>
      <c r="AC14" s="249"/>
      <c r="AD14" s="251"/>
      <c r="AE14" s="253"/>
      <c r="AF14" s="18"/>
      <c r="AG14" s="17"/>
      <c r="AH14" s="17"/>
    </row>
    <row r="15" spans="1:39" ht="17" thickBot="1" x14ac:dyDescent="0.25">
      <c r="A15" s="18"/>
      <c r="B15" s="52"/>
      <c r="C15" s="43"/>
      <c r="D15" s="43"/>
      <c r="E15" s="43"/>
      <c r="F15" s="43"/>
      <c r="G15" s="43"/>
      <c r="H15" s="43"/>
      <c r="I15" s="43"/>
      <c r="J15" s="43"/>
      <c r="K15" s="43"/>
      <c r="L15" s="49"/>
      <c r="M15" s="19"/>
      <c r="N15" s="18"/>
      <c r="P15" s="18"/>
      <c r="Q15" s="237"/>
      <c r="R15" s="238"/>
      <c r="S15" s="239"/>
      <c r="T15" s="239"/>
      <c r="U15" s="239"/>
      <c r="V15" s="240"/>
      <c r="W15" s="75"/>
      <c r="X15" s="38"/>
      <c r="Y15" s="59"/>
      <c r="Z15" s="60"/>
      <c r="AA15" s="249"/>
      <c r="AB15" s="67"/>
      <c r="AC15" s="249"/>
      <c r="AD15" s="251"/>
      <c r="AE15" s="253"/>
      <c r="AF15" s="18"/>
      <c r="AG15" s="17"/>
      <c r="AH15" s="17"/>
    </row>
    <row r="16" spans="1:39" ht="17" thickBot="1" x14ac:dyDescent="0.25">
      <c r="A16" s="18"/>
      <c r="B16" s="52"/>
      <c r="C16" s="43"/>
      <c r="D16" s="43"/>
      <c r="E16" s="43"/>
      <c r="F16" s="43"/>
      <c r="G16" s="43"/>
      <c r="H16" s="43"/>
      <c r="I16" s="43"/>
      <c r="J16" s="43"/>
      <c r="K16" s="43"/>
      <c r="L16" s="49"/>
      <c r="M16" s="19"/>
      <c r="N16" s="18"/>
      <c r="P16" s="18"/>
      <c r="Q16" s="237"/>
      <c r="R16" s="238"/>
      <c r="S16" s="239"/>
      <c r="T16" s="239"/>
      <c r="U16" s="239"/>
      <c r="V16" s="240"/>
      <c r="W16" s="75"/>
      <c r="X16" s="38"/>
      <c r="Y16" s="62"/>
      <c r="Z16" s="63"/>
      <c r="AA16" s="250"/>
      <c r="AB16" s="68"/>
      <c r="AC16" s="250"/>
      <c r="AD16" s="252"/>
      <c r="AE16" s="253"/>
      <c r="AF16" s="18"/>
      <c r="AG16" s="17"/>
      <c r="AH16" s="45"/>
      <c r="AI16" s="131"/>
      <c r="AJ16" s="131"/>
      <c r="AK16" s="131"/>
      <c r="AL16" s="131"/>
      <c r="AM16" s="132"/>
    </row>
    <row r="17" spans="1:45" ht="17" thickBot="1" x14ac:dyDescent="0.25">
      <c r="A17" s="18"/>
      <c r="B17" s="52"/>
      <c r="C17" s="43"/>
      <c r="D17" s="43"/>
      <c r="E17" s="43"/>
      <c r="F17" s="43"/>
      <c r="G17" s="43"/>
      <c r="H17" s="43"/>
      <c r="I17" s="43"/>
      <c r="J17" s="43"/>
      <c r="K17" s="43"/>
      <c r="L17" s="49"/>
      <c r="M17" s="19"/>
      <c r="N17" s="18"/>
      <c r="P17" s="18"/>
      <c r="Q17" s="237" t="s">
        <v>360</v>
      </c>
      <c r="R17" s="238"/>
      <c r="S17" s="239"/>
      <c r="T17" s="239"/>
      <c r="U17" s="239"/>
      <c r="V17" s="240"/>
      <c r="W17" s="75"/>
      <c r="X17" s="38"/>
      <c r="Y17" s="38"/>
      <c r="Z17" s="38"/>
      <c r="AA17" s="38"/>
      <c r="AB17" s="38"/>
      <c r="AC17" s="38"/>
      <c r="AD17" s="38"/>
      <c r="AE17" s="38"/>
      <c r="AF17" s="18"/>
      <c r="AG17" s="17"/>
      <c r="AH17" s="46"/>
      <c r="AI17" s="125" t="s">
        <v>392</v>
      </c>
      <c r="AJ17" s="129" t="s">
        <v>356</v>
      </c>
      <c r="AK17" s="226" t="s">
        <v>547</v>
      </c>
      <c r="AL17" s="227"/>
      <c r="AM17" s="133"/>
    </row>
    <row r="18" spans="1:45" ht="17" thickBot="1" x14ac:dyDescent="0.25">
      <c r="A18" s="18"/>
      <c r="B18" s="52"/>
      <c r="C18" s="43"/>
      <c r="D18" s="43"/>
      <c r="E18" s="43"/>
      <c r="F18" s="43"/>
      <c r="G18" s="43"/>
      <c r="H18" s="43"/>
      <c r="I18" s="43"/>
      <c r="J18" s="43"/>
      <c r="K18" s="43"/>
      <c r="L18" s="49"/>
      <c r="M18" s="19"/>
      <c r="N18" s="18"/>
      <c r="P18" s="18"/>
      <c r="Q18" s="237" t="s">
        <v>361</v>
      </c>
      <c r="R18" s="238"/>
      <c r="S18" s="239"/>
      <c r="T18" s="239"/>
      <c r="U18" s="239"/>
      <c r="V18" s="240"/>
      <c r="W18" s="75"/>
      <c r="X18" s="245" t="s">
        <v>533</v>
      </c>
      <c r="Y18" s="246"/>
      <c r="Z18" s="55" t="s">
        <v>535</v>
      </c>
      <c r="AA18" s="55" t="s">
        <v>359</v>
      </c>
      <c r="AB18" s="55" t="s">
        <v>532</v>
      </c>
      <c r="AC18" s="55" t="s">
        <v>355</v>
      </c>
      <c r="AD18" s="247" t="s">
        <v>534</v>
      </c>
      <c r="AE18" s="248"/>
      <c r="AF18" s="18"/>
      <c r="AG18" s="17"/>
      <c r="AH18" s="46"/>
      <c r="AI18" s="127"/>
      <c r="AJ18" s="130"/>
      <c r="AK18" s="228"/>
      <c r="AL18" s="229"/>
      <c r="AM18" s="133"/>
    </row>
    <row r="19" spans="1:45" ht="17" thickBot="1" x14ac:dyDescent="0.25">
      <c r="A19" s="18"/>
      <c r="B19" s="52"/>
      <c r="C19" s="43"/>
      <c r="D19" s="43"/>
      <c r="E19" s="43"/>
      <c r="F19" s="43"/>
      <c r="G19" s="43"/>
      <c r="H19" s="43"/>
      <c r="I19" s="43"/>
      <c r="J19" s="43"/>
      <c r="K19" s="43"/>
      <c r="L19" s="49"/>
      <c r="M19" s="19"/>
      <c r="N19" s="18"/>
      <c r="P19" s="18"/>
      <c r="Q19" s="237" t="s">
        <v>362</v>
      </c>
      <c r="R19" s="238"/>
      <c r="S19" s="239"/>
      <c r="T19" s="239"/>
      <c r="U19" s="239"/>
      <c r="V19" s="240"/>
      <c r="W19" s="75"/>
      <c r="X19" s="79"/>
      <c r="Y19" s="88"/>
      <c r="Z19" s="43"/>
      <c r="AA19" s="43"/>
      <c r="AB19" s="43"/>
      <c r="AC19" s="43"/>
      <c r="AD19" s="78"/>
      <c r="AE19" s="89"/>
      <c r="AF19" s="18"/>
      <c r="AG19" s="17"/>
      <c r="AH19" s="46"/>
      <c r="AI19" s="124"/>
      <c r="AJ19" s="124"/>
      <c r="AK19" s="124"/>
      <c r="AL19" s="124"/>
      <c r="AM19" s="133"/>
    </row>
    <row r="20" spans="1:45" ht="17" thickBot="1" x14ac:dyDescent="0.25">
      <c r="A20" s="18"/>
      <c r="B20" s="52"/>
      <c r="C20" s="43"/>
      <c r="D20" s="43"/>
      <c r="E20" s="43"/>
      <c r="F20" s="43"/>
      <c r="G20" s="43"/>
      <c r="H20" s="43"/>
      <c r="I20" s="43"/>
      <c r="J20" s="43"/>
      <c r="K20" s="43"/>
      <c r="L20" s="49"/>
      <c r="M20" s="19"/>
      <c r="N20" s="18"/>
      <c r="P20" s="18"/>
      <c r="Q20" s="237" t="s">
        <v>363</v>
      </c>
      <c r="R20" s="238"/>
      <c r="S20" s="239"/>
      <c r="T20" s="239"/>
      <c r="U20" s="239"/>
      <c r="V20" s="240"/>
      <c r="W20" s="38"/>
      <c r="X20" s="79"/>
      <c r="Y20" s="88"/>
      <c r="Z20" s="43"/>
      <c r="AA20" s="43"/>
      <c r="AB20" s="43"/>
      <c r="AC20" s="241" t="s">
        <v>557</v>
      </c>
      <c r="AD20" s="78"/>
      <c r="AE20" s="89"/>
      <c r="AF20" s="18"/>
      <c r="AG20" s="17"/>
      <c r="AH20" s="46"/>
      <c r="AI20" s="230" t="s">
        <v>583</v>
      </c>
      <c r="AJ20" s="231"/>
      <c r="AK20" s="231"/>
      <c r="AL20" s="232"/>
      <c r="AM20" s="133"/>
    </row>
    <row r="21" spans="1:45" ht="17" thickBot="1" x14ac:dyDescent="0.25">
      <c r="A21" s="18"/>
      <c r="B21" s="52"/>
      <c r="C21" s="43"/>
      <c r="D21" s="43"/>
      <c r="E21" s="43"/>
      <c r="F21" s="43"/>
      <c r="G21" s="43"/>
      <c r="H21" s="43"/>
      <c r="I21" s="43"/>
      <c r="J21" s="43"/>
      <c r="K21" s="43"/>
      <c r="L21" s="49"/>
      <c r="M21" s="19"/>
      <c r="N21" s="18"/>
      <c r="P21" s="18"/>
      <c r="Q21" s="79" t="s">
        <v>364</v>
      </c>
      <c r="R21" s="76"/>
      <c r="S21" s="77" t="s">
        <v>537</v>
      </c>
      <c r="T21" s="77"/>
      <c r="U21" s="77"/>
      <c r="V21" s="80"/>
      <c r="W21" s="38"/>
      <c r="X21" s="79"/>
      <c r="Y21" s="88"/>
      <c r="Z21" s="43"/>
      <c r="AA21" s="43"/>
      <c r="AB21" s="43"/>
      <c r="AC21" s="242"/>
      <c r="AD21" s="78"/>
      <c r="AE21" s="89"/>
      <c r="AF21" s="18"/>
      <c r="AG21" s="17"/>
      <c r="AH21" s="47"/>
      <c r="AI21" s="134"/>
      <c r="AJ21" s="134"/>
      <c r="AK21" s="134"/>
      <c r="AL21" s="134"/>
      <c r="AM21" s="135"/>
    </row>
    <row r="22" spans="1:45" ht="17" thickBot="1" x14ac:dyDescent="0.25">
      <c r="A22" s="18"/>
      <c r="B22" s="52"/>
      <c r="C22" s="43"/>
      <c r="D22" s="43"/>
      <c r="E22" s="43"/>
      <c r="F22" s="43"/>
      <c r="G22" s="43"/>
      <c r="H22" s="43"/>
      <c r="I22" s="43"/>
      <c r="J22" s="43"/>
      <c r="K22" s="43"/>
      <c r="L22" s="49"/>
      <c r="M22" s="19"/>
      <c r="N22" s="18"/>
      <c r="P22" s="18"/>
      <c r="Q22" s="90" t="s">
        <v>366</v>
      </c>
      <c r="R22" s="81"/>
      <c r="S22" s="91" t="s">
        <v>538</v>
      </c>
      <c r="T22" s="91"/>
      <c r="U22" s="91"/>
      <c r="V22" s="92"/>
      <c r="W22" s="38"/>
      <c r="X22" s="79"/>
      <c r="Y22" s="88"/>
      <c r="Z22" s="43"/>
      <c r="AA22" s="43"/>
      <c r="AB22" s="43"/>
      <c r="AC22" s="242"/>
      <c r="AD22" s="78"/>
      <c r="AE22" s="89"/>
      <c r="AF22" s="18"/>
      <c r="AG22" s="17"/>
      <c r="AH22" s="17"/>
    </row>
    <row r="23" spans="1:45" ht="17" thickBot="1" x14ac:dyDescent="0.25">
      <c r="A23" s="18"/>
      <c r="B23" s="52"/>
      <c r="C23" s="43"/>
      <c r="D23" s="43"/>
      <c r="E23" s="43"/>
      <c r="F23" s="43"/>
      <c r="G23" s="43"/>
      <c r="H23" s="43"/>
      <c r="I23" s="43"/>
      <c r="J23" s="43"/>
      <c r="K23" s="43"/>
      <c r="L23" s="49"/>
      <c r="M23" s="19"/>
      <c r="N23" s="18"/>
      <c r="P23" s="18"/>
      <c r="Q23" s="38"/>
      <c r="R23" s="221"/>
      <c r="S23" s="221"/>
      <c r="T23" s="221"/>
      <c r="U23" s="221"/>
      <c r="V23" s="221"/>
      <c r="W23" s="38"/>
      <c r="X23" s="79"/>
      <c r="Y23" s="88"/>
      <c r="Z23" s="43"/>
      <c r="AA23" s="43"/>
      <c r="AB23" s="43"/>
      <c r="AC23" s="242"/>
      <c r="AD23" s="78"/>
      <c r="AE23" s="89"/>
      <c r="AF23" s="18"/>
      <c r="AG23" s="17"/>
      <c r="AH23" s="17"/>
    </row>
    <row r="24" spans="1:45" ht="17" thickBot="1" x14ac:dyDescent="0.25">
      <c r="A24" s="18"/>
      <c r="B24" s="50"/>
      <c r="C24" s="53"/>
      <c r="D24" s="53"/>
      <c r="E24" s="53"/>
      <c r="F24" s="53"/>
      <c r="G24" s="53"/>
      <c r="H24" s="53"/>
      <c r="I24" s="53"/>
      <c r="J24" s="53"/>
      <c r="K24" s="53"/>
      <c r="L24" s="51"/>
      <c r="M24" s="19"/>
      <c r="N24" s="18"/>
      <c r="P24" s="18"/>
      <c r="Q24" s="54" t="s">
        <v>392</v>
      </c>
      <c r="R24" s="243" t="s">
        <v>356</v>
      </c>
      <c r="S24" s="243"/>
      <c r="T24" s="243"/>
      <c r="U24" s="243" t="s">
        <v>547</v>
      </c>
      <c r="V24" s="244"/>
      <c r="W24" s="38"/>
      <c r="X24" s="79"/>
      <c r="Y24" s="88"/>
      <c r="Z24" s="43"/>
      <c r="AA24" s="43"/>
      <c r="AB24" s="43"/>
      <c r="AC24" s="242"/>
      <c r="AD24" s="78"/>
      <c r="AE24" s="89"/>
      <c r="AF24" s="18"/>
      <c r="AG24" s="17"/>
      <c r="AH24" s="17"/>
    </row>
    <row r="25" spans="1:45" x14ac:dyDescent="0.2">
      <c r="A25" s="1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19"/>
      <c r="N25" s="18"/>
      <c r="P25" s="18"/>
      <c r="Q25" s="52"/>
      <c r="R25" s="222"/>
      <c r="S25" s="222"/>
      <c r="T25" s="222"/>
      <c r="U25" s="222"/>
      <c r="V25" s="223"/>
      <c r="W25" s="38"/>
      <c r="X25" s="79"/>
      <c r="Y25" s="88"/>
      <c r="Z25" s="43"/>
      <c r="AA25" s="43"/>
      <c r="AB25" s="43"/>
      <c r="AC25" s="242"/>
      <c r="AD25" s="78"/>
      <c r="AE25" s="89"/>
      <c r="AF25" s="18"/>
      <c r="AG25" s="17"/>
      <c r="AH25" s="17"/>
    </row>
    <row r="26" spans="1:45" ht="17" thickBot="1" x14ac:dyDescent="0.25">
      <c r="A26" s="18"/>
      <c r="B26" s="38"/>
      <c r="C26" s="38"/>
      <c r="D26" s="43" t="s">
        <v>561</v>
      </c>
      <c r="E26" s="43">
        <v>1</v>
      </c>
      <c r="F26" s="43">
        <v>2</v>
      </c>
      <c r="G26" s="43">
        <v>3</v>
      </c>
      <c r="H26" s="43" t="s">
        <v>562</v>
      </c>
      <c r="I26" s="38"/>
      <c r="J26" s="38"/>
      <c r="K26" s="38"/>
      <c r="L26" s="38"/>
      <c r="M26" s="18"/>
      <c r="N26" s="18"/>
      <c r="P26" s="18"/>
      <c r="Q26" s="52"/>
      <c r="R26" s="222"/>
      <c r="S26" s="222"/>
      <c r="T26" s="222"/>
      <c r="U26" s="222"/>
      <c r="V26" s="223"/>
      <c r="W26" s="38"/>
      <c r="X26" s="90"/>
      <c r="Y26" s="117"/>
      <c r="Z26" s="53"/>
      <c r="AA26" s="53"/>
      <c r="AB26" s="53"/>
      <c r="AC26" s="114"/>
      <c r="AD26" s="118"/>
      <c r="AE26" s="119"/>
      <c r="AF26" s="18"/>
      <c r="AG26" s="17"/>
      <c r="AH26" s="17"/>
    </row>
    <row r="27" spans="1:45" ht="17" thickBot="1" x14ac:dyDescent="0.25">
      <c r="A27" s="183" t="s">
        <v>445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"/>
      <c r="N27" s="18"/>
      <c r="P27" s="18"/>
      <c r="Q27" s="52"/>
      <c r="R27" s="222"/>
      <c r="S27" s="222"/>
      <c r="T27" s="222"/>
      <c r="U27" s="222"/>
      <c r="V27" s="223"/>
      <c r="W27" s="38"/>
      <c r="X27" s="38"/>
      <c r="Y27" s="38"/>
      <c r="Z27" s="38"/>
      <c r="AA27" s="38"/>
      <c r="AB27" s="38"/>
      <c r="AC27" s="38"/>
      <c r="AD27" s="38"/>
      <c r="AE27" s="38"/>
      <c r="AF27" s="18"/>
      <c r="AG27" s="17"/>
      <c r="AH27" s="17"/>
    </row>
    <row r="28" spans="1:45" ht="16" customHeight="1" thickBot="1" x14ac:dyDescent="0.25">
      <c r="P28" s="18"/>
      <c r="Q28" s="52"/>
      <c r="R28" s="222"/>
      <c r="S28" s="222"/>
      <c r="T28" s="222"/>
      <c r="U28" s="222"/>
      <c r="V28" s="223"/>
      <c r="W28" s="38"/>
      <c r="X28" s="210" t="s">
        <v>553</v>
      </c>
      <c r="Y28" s="211"/>
      <c r="Z28" s="211"/>
      <c r="AA28" s="211" t="s">
        <v>552</v>
      </c>
      <c r="AB28" s="211" t="s">
        <v>550</v>
      </c>
      <c r="AC28" s="211"/>
      <c r="AD28" s="211"/>
      <c r="AE28" s="217" t="s">
        <v>549</v>
      </c>
      <c r="AF28" s="18"/>
      <c r="AG28" s="17"/>
      <c r="AH28" s="233" t="s">
        <v>590</v>
      </c>
      <c r="AI28" s="233"/>
      <c r="AJ28" s="233"/>
      <c r="AK28" s="233"/>
      <c r="AL28" s="233"/>
      <c r="AM28" s="233"/>
      <c r="AO28" s="219" t="s">
        <v>591</v>
      </c>
      <c r="AP28" s="219"/>
      <c r="AQ28" s="219"/>
      <c r="AR28" s="219"/>
      <c r="AS28" s="219"/>
    </row>
    <row r="29" spans="1:45" ht="17" thickBot="1" x14ac:dyDescent="0.25">
      <c r="B29" s="181" t="s">
        <v>563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P29" s="18"/>
      <c r="Q29" s="52"/>
      <c r="R29" s="222"/>
      <c r="S29" s="222"/>
      <c r="T29" s="222"/>
      <c r="U29" s="222"/>
      <c r="V29" s="223"/>
      <c r="W29" s="38"/>
      <c r="X29" s="212"/>
      <c r="Y29" s="213"/>
      <c r="Z29" s="213"/>
      <c r="AA29" s="213"/>
      <c r="AB29" s="213"/>
      <c r="AC29" s="213"/>
      <c r="AD29" s="213"/>
      <c r="AE29" s="218"/>
      <c r="AF29" s="18"/>
      <c r="AG29" s="17"/>
      <c r="AH29" s="45"/>
      <c r="AI29" s="131"/>
      <c r="AJ29" s="131"/>
      <c r="AK29" s="131"/>
      <c r="AL29" s="131"/>
      <c r="AM29" s="132"/>
      <c r="AO29" s="45"/>
      <c r="AP29" s="131"/>
      <c r="AQ29" s="131"/>
      <c r="AR29" s="131"/>
      <c r="AS29" s="132"/>
    </row>
    <row r="30" spans="1:45" ht="17" thickBot="1" x14ac:dyDescent="0.25">
      <c r="B30" s="181" t="s">
        <v>564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P30" s="18"/>
      <c r="Q30" s="50"/>
      <c r="R30" s="224"/>
      <c r="S30" s="224"/>
      <c r="T30" s="224"/>
      <c r="U30" s="224"/>
      <c r="V30" s="225"/>
      <c r="W30" s="38"/>
      <c r="X30" s="214" t="s">
        <v>576</v>
      </c>
      <c r="Y30" s="215"/>
      <c r="Z30" s="215"/>
      <c r="AA30" s="137">
        <v>46065</v>
      </c>
      <c r="AB30" s="234" t="s">
        <v>595</v>
      </c>
      <c r="AC30" s="235"/>
      <c r="AD30" s="236"/>
      <c r="AE30" s="56"/>
      <c r="AF30" s="18"/>
      <c r="AG30" s="17"/>
      <c r="AH30" s="46"/>
      <c r="AI30" s="125" t="s">
        <v>392</v>
      </c>
      <c r="AJ30" s="129" t="s">
        <v>586</v>
      </c>
      <c r="AK30" s="226" t="s">
        <v>550</v>
      </c>
      <c r="AL30" s="227"/>
      <c r="AM30" s="133"/>
      <c r="AO30" s="46"/>
      <c r="AP30" s="125" t="s">
        <v>392</v>
      </c>
      <c r="AQ30" s="226" t="s">
        <v>550</v>
      </c>
      <c r="AR30" s="227"/>
      <c r="AS30" s="133"/>
    </row>
    <row r="31" spans="1:45" ht="17" thickBot="1" x14ac:dyDescent="0.25">
      <c r="B31" s="181" t="s">
        <v>565</v>
      </c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P31" s="18"/>
      <c r="Q31" s="38"/>
      <c r="R31" s="221"/>
      <c r="S31" s="221"/>
      <c r="T31" s="221"/>
      <c r="U31" s="221"/>
      <c r="V31" s="221"/>
      <c r="W31" s="38"/>
      <c r="X31" s="38"/>
      <c r="Y31" s="38"/>
      <c r="Z31" s="38"/>
      <c r="AA31" s="38"/>
      <c r="AB31" s="38"/>
      <c r="AC31" s="38"/>
      <c r="AD31" s="221"/>
      <c r="AE31" s="221"/>
      <c r="AF31" s="18"/>
      <c r="AG31" s="17"/>
      <c r="AH31" s="46"/>
      <c r="AI31" s="127"/>
      <c r="AJ31" s="130"/>
      <c r="AK31" s="228" t="s">
        <v>584</v>
      </c>
      <c r="AL31" s="229"/>
      <c r="AM31" s="133"/>
      <c r="AO31" s="46"/>
      <c r="AP31" s="127"/>
      <c r="AQ31" s="228" t="s">
        <v>584</v>
      </c>
      <c r="AR31" s="229"/>
      <c r="AS31" s="133"/>
    </row>
    <row r="32" spans="1:45" ht="17" thickBot="1" x14ac:dyDescent="0.25">
      <c r="B32" s="181" t="s">
        <v>566</v>
      </c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P32" s="18"/>
      <c r="Q32" s="38"/>
      <c r="R32" s="221"/>
      <c r="S32" s="221"/>
      <c r="T32" s="221"/>
      <c r="U32" s="202" t="s">
        <v>574</v>
      </c>
      <c r="V32" s="203"/>
      <c r="W32" s="38"/>
      <c r="X32" s="38"/>
      <c r="Y32" s="38"/>
      <c r="Z32" s="38"/>
      <c r="AA32" s="202" t="s">
        <v>573</v>
      </c>
      <c r="AB32" s="203"/>
      <c r="AC32" s="65" t="s">
        <v>585</v>
      </c>
      <c r="AD32" s="202" t="s">
        <v>575</v>
      </c>
      <c r="AE32" s="203"/>
      <c r="AF32" s="18"/>
      <c r="AG32" s="41"/>
      <c r="AH32" s="46"/>
      <c r="AI32" s="124"/>
      <c r="AJ32" s="124"/>
      <c r="AK32" s="124"/>
      <c r="AL32" s="124"/>
      <c r="AM32" s="133"/>
      <c r="AO32" s="46"/>
      <c r="AP32" s="124"/>
      <c r="AQ32" s="124"/>
      <c r="AR32" s="124"/>
      <c r="AS32" s="133"/>
    </row>
    <row r="33" spans="2:45" ht="17" thickBot="1" x14ac:dyDescent="0.25">
      <c r="B33" s="181" t="s">
        <v>568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P33" s="18"/>
      <c r="Q33" s="38"/>
      <c r="R33" s="221"/>
      <c r="S33" s="221"/>
      <c r="T33" s="221"/>
      <c r="U33" s="221"/>
      <c r="V33" s="221"/>
      <c r="W33" s="38"/>
      <c r="X33" s="38"/>
      <c r="Y33" s="38"/>
      <c r="Z33" s="38"/>
      <c r="AA33" s="201" t="s">
        <v>582</v>
      </c>
      <c r="AB33" s="201"/>
      <c r="AC33" s="201"/>
      <c r="AD33" s="201"/>
      <c r="AE33" s="201"/>
      <c r="AF33" s="18"/>
      <c r="AG33" s="17"/>
      <c r="AH33" s="46"/>
      <c r="AI33" s="230" t="s">
        <v>583</v>
      </c>
      <c r="AJ33" s="231"/>
      <c r="AK33" s="231"/>
      <c r="AL33" s="232"/>
      <c r="AM33" s="133"/>
      <c r="AO33" s="46"/>
      <c r="AP33" s="230" t="s">
        <v>583</v>
      </c>
      <c r="AQ33" s="231"/>
      <c r="AR33" s="232"/>
      <c r="AS33" s="133"/>
    </row>
    <row r="34" spans="2:45" ht="17" thickBot="1" x14ac:dyDescent="0.25">
      <c r="B34" s="181" t="s">
        <v>567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P34" s="183" t="s">
        <v>445</v>
      </c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39"/>
      <c r="AE34" s="39"/>
      <c r="AF34" s="18"/>
      <c r="AG34" s="17"/>
      <c r="AH34" s="47"/>
      <c r="AI34" s="134"/>
      <c r="AJ34" s="134"/>
      <c r="AK34" s="134"/>
      <c r="AL34" s="134"/>
      <c r="AM34" s="135"/>
      <c r="AO34" s="47"/>
      <c r="AP34" s="134"/>
      <c r="AQ34" s="134"/>
      <c r="AR34" s="134"/>
      <c r="AS34" s="135"/>
    </row>
    <row r="35" spans="2:45" x14ac:dyDescent="0.2">
      <c r="B35" s="181" t="s">
        <v>569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spans="2:45" x14ac:dyDescent="0.2">
      <c r="B36" s="181" t="s">
        <v>570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P36" s="17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7"/>
      <c r="AG36" s="17"/>
      <c r="AH36" s="181" t="s">
        <v>598</v>
      </c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</row>
    <row r="37" spans="2:45" x14ac:dyDescent="0.2">
      <c r="P37" s="17"/>
      <c r="Q37" s="181" t="s">
        <v>554</v>
      </c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7"/>
      <c r="AG37" s="17"/>
      <c r="AH37" s="181" t="s">
        <v>599</v>
      </c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</row>
    <row r="38" spans="2:45" x14ac:dyDescent="0.2">
      <c r="P38" s="17"/>
      <c r="Q38" s="181" t="s">
        <v>558</v>
      </c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7"/>
      <c r="AG38" s="17"/>
      <c r="AH38" s="41"/>
      <c r="AI38" s="41"/>
      <c r="AJ38" s="41"/>
      <c r="AK38" s="41"/>
      <c r="AL38" s="41"/>
      <c r="AM38" s="41"/>
    </row>
    <row r="39" spans="2:45" ht="17" thickBot="1" x14ac:dyDescent="0.25">
      <c r="Z39" s="219" t="s">
        <v>594</v>
      </c>
      <c r="AA39" s="219"/>
      <c r="AB39" s="219"/>
      <c r="AC39" s="219"/>
      <c r="AH39" s="41"/>
      <c r="AI39" s="41"/>
      <c r="AJ39" s="41"/>
      <c r="AK39" s="41"/>
      <c r="AL39" s="41"/>
      <c r="AM39" s="41"/>
    </row>
    <row r="40" spans="2:45" ht="16" customHeight="1" x14ac:dyDescent="0.2">
      <c r="X40" s="210" t="s">
        <v>553</v>
      </c>
      <c r="Y40" s="211"/>
      <c r="Z40" s="211" t="s">
        <v>552</v>
      </c>
      <c r="AA40" s="211" t="s">
        <v>551</v>
      </c>
      <c r="AB40" s="211" t="s">
        <v>593</v>
      </c>
      <c r="AC40" s="211"/>
      <c r="AD40" s="211" t="s">
        <v>549</v>
      </c>
      <c r="AE40" s="217" t="s">
        <v>548</v>
      </c>
      <c r="AG40" s="220" t="s">
        <v>597</v>
      </c>
    </row>
    <row r="41" spans="2:45" x14ac:dyDescent="0.2">
      <c r="X41" s="212"/>
      <c r="Y41" s="213"/>
      <c r="Z41" s="213"/>
      <c r="AA41" s="213"/>
      <c r="AB41" s="213"/>
      <c r="AC41" s="213"/>
      <c r="AD41" s="213"/>
      <c r="AE41" s="218"/>
      <c r="AG41" s="220"/>
    </row>
    <row r="42" spans="2:45" ht="17" thickBot="1" x14ac:dyDescent="0.25">
      <c r="X42" s="214" t="s">
        <v>576</v>
      </c>
      <c r="Y42" s="215"/>
      <c r="Z42" s="137">
        <v>46065</v>
      </c>
      <c r="AA42" s="138">
        <v>0.54513888888888884</v>
      </c>
      <c r="AB42" s="215" t="s">
        <v>596</v>
      </c>
      <c r="AC42" s="215"/>
      <c r="AD42" s="123"/>
      <c r="AE42" s="56"/>
      <c r="AG42" s="220"/>
    </row>
  </sheetData>
  <mergeCells count="115">
    <mergeCell ref="Y2:Z2"/>
    <mergeCell ref="AA2:AB2"/>
    <mergeCell ref="Q12:R12"/>
    <mergeCell ref="S10:V10"/>
    <mergeCell ref="Q11:R11"/>
    <mergeCell ref="S11:V11"/>
    <mergeCell ref="AD2:AE2"/>
    <mergeCell ref="Q3:R3"/>
    <mergeCell ref="Q5:R5"/>
    <mergeCell ref="S5:V5"/>
    <mergeCell ref="Q6:R6"/>
    <mergeCell ref="S6:V6"/>
    <mergeCell ref="Q7:R7"/>
    <mergeCell ref="S7:V7"/>
    <mergeCell ref="Q8:R8"/>
    <mergeCell ref="S8:V8"/>
    <mergeCell ref="Q2:R2"/>
    <mergeCell ref="B36:L36"/>
    <mergeCell ref="B35:L35"/>
    <mergeCell ref="B34:L34"/>
    <mergeCell ref="B33:L33"/>
    <mergeCell ref="A27:L27"/>
    <mergeCell ref="B2:C2"/>
    <mergeCell ref="B29:L29"/>
    <mergeCell ref="B30:L30"/>
    <mergeCell ref="B31:L31"/>
    <mergeCell ref="B32:L32"/>
    <mergeCell ref="Q18:R18"/>
    <mergeCell ref="S18:V18"/>
    <mergeCell ref="X18:Y18"/>
    <mergeCell ref="AD18:AE18"/>
    <mergeCell ref="Q19:R19"/>
    <mergeCell ref="S19:V19"/>
    <mergeCell ref="Q15:R15"/>
    <mergeCell ref="S15:V15"/>
    <mergeCell ref="Q16:R16"/>
    <mergeCell ref="S16:V16"/>
    <mergeCell ref="Q17:R17"/>
    <mergeCell ref="S17:V17"/>
    <mergeCell ref="AC9:AC16"/>
    <mergeCell ref="AD9:AD16"/>
    <mergeCell ref="AE9:AE16"/>
    <mergeCell ref="S12:V12"/>
    <mergeCell ref="Q13:R13"/>
    <mergeCell ref="S13:V13"/>
    <mergeCell ref="Q14:R14"/>
    <mergeCell ref="S14:V14"/>
    <mergeCell ref="Q9:R9"/>
    <mergeCell ref="S9:V9"/>
    <mergeCell ref="AA9:AA16"/>
    <mergeCell ref="Q10:R10"/>
    <mergeCell ref="AB28:AD29"/>
    <mergeCell ref="R26:T26"/>
    <mergeCell ref="U26:V26"/>
    <mergeCell ref="R27:T27"/>
    <mergeCell ref="U27:V27"/>
    <mergeCell ref="R28:T28"/>
    <mergeCell ref="U28:V28"/>
    <mergeCell ref="Q20:R20"/>
    <mergeCell ref="S20:V20"/>
    <mergeCell ref="AC20:AC25"/>
    <mergeCell ref="R23:T23"/>
    <mergeCell ref="U23:V23"/>
    <mergeCell ref="R24:T24"/>
    <mergeCell ref="U24:V24"/>
    <mergeCell ref="R25:T25"/>
    <mergeCell ref="U25:V25"/>
    <mergeCell ref="AQ30:AR30"/>
    <mergeCell ref="AQ31:AR31"/>
    <mergeCell ref="AP33:AR33"/>
    <mergeCell ref="AH28:AM28"/>
    <mergeCell ref="AO28:AS28"/>
    <mergeCell ref="AH36:AS36"/>
    <mergeCell ref="AH37:AS37"/>
    <mergeCell ref="AI9:AJ9"/>
    <mergeCell ref="AA33:AE33"/>
    <mergeCell ref="AK30:AL30"/>
    <mergeCell ref="AK31:AL31"/>
    <mergeCell ref="AI33:AL33"/>
    <mergeCell ref="AK17:AL17"/>
    <mergeCell ref="AK18:AL18"/>
    <mergeCell ref="AI20:AL20"/>
    <mergeCell ref="P34:AC34"/>
    <mergeCell ref="Q36:AE36"/>
    <mergeCell ref="Q37:AE37"/>
    <mergeCell ref="AA32:AB32"/>
    <mergeCell ref="AB30:AD30"/>
    <mergeCell ref="AD31:AE31"/>
    <mergeCell ref="R32:T32"/>
    <mergeCell ref="U32:V32"/>
    <mergeCell ref="AD32:AE32"/>
    <mergeCell ref="X40:Y41"/>
    <mergeCell ref="X42:Y42"/>
    <mergeCell ref="Z40:Z41"/>
    <mergeCell ref="AB40:AC41"/>
    <mergeCell ref="AD40:AD41"/>
    <mergeCell ref="AB42:AC42"/>
    <mergeCell ref="AH4:AK4"/>
    <mergeCell ref="AA40:AA41"/>
    <mergeCell ref="AE40:AE41"/>
    <mergeCell ref="Z39:AC39"/>
    <mergeCell ref="AG40:AG42"/>
    <mergeCell ref="Q38:AE38"/>
    <mergeCell ref="R33:T33"/>
    <mergeCell ref="U33:V33"/>
    <mergeCell ref="R29:T29"/>
    <mergeCell ref="U29:V29"/>
    <mergeCell ref="R30:T30"/>
    <mergeCell ref="U30:V30"/>
    <mergeCell ref="X30:Z30"/>
    <mergeCell ref="R31:T31"/>
    <mergeCell ref="U31:V31"/>
    <mergeCell ref="X28:Z29"/>
    <mergeCell ref="AA28:AA29"/>
    <mergeCell ref="AE28:A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schema_core</vt:lpstr>
      <vt:lpstr>schema_mi</vt:lpstr>
      <vt:lpstr>schema_md</vt:lpstr>
      <vt:lpstr>schema_ma</vt:lpstr>
      <vt:lpstr>schema_mc</vt:lpstr>
      <vt:lpstr>schema_bb</vt:lpstr>
      <vt:lpstr>schema_ops</vt:lpstr>
      <vt:lpstr>schema_acc</vt:lpstr>
      <vt:lpstr>schema_hr</vt:lpstr>
      <vt:lpstr>schema_updates</vt:lpstr>
      <vt:lpstr>sidebar</vt:lpstr>
      <vt:lpstr>po invoice</vt:lpstr>
      <vt:lpstr>people</vt:lpstr>
      <vt:lpstr>project</vt:lpstr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Axe4423</dc:creator>
  <cp:lastModifiedBy>Axe4423</cp:lastModifiedBy>
  <dcterms:created xsi:type="dcterms:W3CDTF">2026-02-26T14:17:35Z</dcterms:created>
  <dcterms:modified xsi:type="dcterms:W3CDTF">2026-03-27T11:23:46Z</dcterms:modified>
</cp:coreProperties>
</file>